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463a85e39d4b90" /></Relationships>
</file>

<file path=xl/workbook.xml><?xml version="1.0" encoding="utf-8"?>
<x:workbook xmlns:x="http://schemas.openxmlformats.org/spreadsheetml/2006/main">
  <x:sheets>
    <x:sheet xmlns:r="http://schemas.openxmlformats.org/officeDocument/2006/relationships" name="00_概要" sheetId="1" r:id="R43d17cd492bb4d4a"/>
    <x:sheet xmlns:r="http://schemas.openxmlformats.org/officeDocument/2006/relationships" name="01_フロー仮説" sheetId="2" r:id="Rd1840098ba8f42d9"/>
    <x:sheet xmlns:r="http://schemas.openxmlformats.org/officeDocument/2006/relationships" name="02_ヒアリング質問" sheetId="3" r:id="R1e586b28cf8a4bab"/>
    <x:sheet xmlns:r="http://schemas.openxmlformats.org/officeDocument/2006/relationships" name="03_データ取得台帳" sheetId="4" r:id="R6f51a5090cc64ff7"/>
    <x:sheet xmlns:r="http://schemas.openxmlformats.org/officeDocument/2006/relationships" name="04_文書種別台帳" sheetId="5" r:id="Rd33d684968e045f3"/>
    <x:sheet xmlns:r="http://schemas.openxmlformats.org/officeDocument/2006/relationships" name="05_イベント分類" sheetId="6" r:id="Rb9aa2bedfd5a479f"/>
    <x:sheet xmlns:r="http://schemas.openxmlformats.org/officeDocument/2006/relationships" name="06_状態遷移" sheetId="7" r:id="R1fbc7826f7834e62"/>
    <x:sheet xmlns:r="http://schemas.openxmlformats.org/officeDocument/2006/relationships" name="07_SFフィールド対応" sheetId="8" r:id="Rd16f5a9239e94593"/>
    <x:sheet xmlns:r="http://schemas.openxmlformats.org/officeDocument/2006/relationships" name="08_証跡サンプル" sheetId="9" r:id="R9b35c5b0d08d41b4"/>
    <x:sheet xmlns:r="http://schemas.openxmlformats.org/officeDocument/2006/relationships" name="09_決定事項ログ" sheetId="10" r:id="R273d5092548647a4"/>
    <x:sheet xmlns:r="http://schemas.openxmlformats.org/officeDocument/2006/relationships" name="99_用語・選択肢" sheetId="11" r:id="R20ab1de2d4e5488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6"/>
      <x:color rgb="FFFFFFFF"/>
      <x:name val="Carlito"/>
    </x:font>
    <x:font>
      <x:sz val="10"/>
      <x:color rgb="FF1F2937"/>
      <x:name val="Carlito"/>
    </x:font>
    <x:font>
      <x:b/>
      <x:sz val="11"/>
      <x:color rgb="FFFFFFFF"/>
      <x:name val="Carlito"/>
    </x:font>
    <x:font>
      <x:sz val="10"/>
      <x:name val="Carlito"/>
    </x:font>
    <x:font>
      <x:b/>
      <x:sz val="10"/>
      <x:color rgb="FF1F2937"/>
      <x:name val="Carlito"/>
    </x:font>
    <x:font>
      <x:b/>
      <x:sz val="12"/>
      <x:color rgb="FFFFFFFF"/>
      <x:name val="Carlito"/>
    </x:font>
    <x:font>
      <x:sz val="9"/>
      <x:name val="Carlito"/>
    </x:font>
    <x:font>
      <x:b/>
      <x:sz val="9"/>
      <x:color rgb="FFFFFFFF"/>
      <x:name val="Carlito"/>
    </x:font>
    <x:font>
      <x:sz val="9"/>
      <x:color rgb="FF1F2937"/>
      <x:name val="Carlito"/>
    </x:font>
  </x:fonts>
  <x:fills count="6">
    <x:fill>
      <x:patternFill patternType="none"/>
    </x:fill>
    <x:fill>
      <x:patternFill patternType="gray125"/>
    </x:fill>
    <x:fill>
      <x:patternFill patternType="solid">
        <x:fgColor rgb="FF173F5F"/>
      </x:patternFill>
    </x:fill>
    <x:fill>
      <x:patternFill patternType="solid">
        <x:fgColor rgb="FFEAF2F7"/>
      </x:patternFill>
    </x:fill>
    <x:fill>
      <x:patternFill patternType="solid">
        <x:fgColor rgb="FF2F6F93"/>
      </x:patternFill>
    </x:fill>
    <x:fill>
      <x:patternFill patternType="solid">
        <x:fgColor rgb="FFF6F8FA"/>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0" fillId="0" borderId="0"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200" fontId="4" fillId="0" borderId="0" xfId="0" applyNumberFormat="1" applyFont="1" applyFill="1" applyBorder="1"/>
    <x:xf numFmtId="200" fontId="4" fillId="0" borderId="1" xfId="0" applyNumberFormat="1" applyFont="1" applyFill="1" applyBorder="1"/>
    <x:xf numFmtId="200" fontId="0" fillId="0" borderId="0" xfId="0" applyNumberFormat="1" applyFont="1" applyFill="1" applyBorder="1"/>
  </x:cellXfs>
  <x:cellStyles count="1">
    <x:cellStyle name="Normal" xfId="0"/>
  </x:cellStyles>
  <x:dxfs count="7">
    <x:dxf>
      <x:font>
        <x:b/>
        <x:color rgb="FF9B1C1C"/>
      </x:font>
      <x:fill>
        <x:patternFill patternType="solid">
          <x:bgColor rgb="FFFDE2E2"/>
        </x:patternFill>
      </x:fill>
    </x:dxf>
    <x:dxf>
      <x:font>
        <x:color rgb="FF7A5A00"/>
      </x:font>
      <x:fill>
        <x:patternFill patternType="solid">
          <x:bgColor rgb="FFFFF4CC"/>
        </x:patternFill>
      </x:fill>
    </x:dxf>
    <x:dxf>
      <x:font>
        <x:color rgb="FF166534"/>
      </x:font>
      <x:fill>
        <x:patternFill patternType="solid">
          <x:bgColor rgb="FFDFF3E4"/>
        </x:patternFill>
      </x:fill>
    </x:dxf>
    <x:dxf>
      <x:font>
        <x:color rgb="FF9B1C1C"/>
      </x:font>
      <x:fill>
        <x:patternFill patternType="solid">
          <x:bgColor rgb="FFFDE2E2"/>
        </x:patternFill>
      </x:fill>
    </x:dxf>
    <x:dxf>
      <x:font>
        <x:color rgb="FF7A5A00"/>
      </x:font>
      <x:fill>
        <x:patternFill patternType="solid">
          <x:bgColor rgb="FFFFF4CC"/>
        </x:patternFill>
      </x:fill>
    </x:dxf>
    <x:dxf>
      <x:font>
        <x:color rgb="FF166534"/>
      </x:font>
      <x:fill>
        <x:patternFill patternType="solid">
          <x:bgColor rgb="FFDFF3E4"/>
        </x:patternFill>
      </x:fill>
    </x:dxf>
    <x:dxf>
      <x:font>
        <x:color rgb="FF7A5A00"/>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dac275945c4399" /><Relationship Type="http://schemas.openxmlformats.org/officeDocument/2006/relationships/theme" Target="/xl/theme/theme1.xml" Id="R530985da9e594024" /><Relationship Type="http://schemas.openxmlformats.org/officeDocument/2006/relationships/sharedStrings" Target="/xl/sharedStrings.xml" Id="Ra9785d731c4c4790" /><Relationship Type="http://schemas.openxmlformats.org/officeDocument/2006/relationships/worksheet" Target="/xl/worksheets/sheet1.xml" Id="R43d17cd492bb4d4a" /><Relationship Type="http://schemas.openxmlformats.org/officeDocument/2006/relationships/worksheet" Target="/xl/worksheets/sheet2.xml" Id="Rd1840098ba8f42d9" /><Relationship Type="http://schemas.openxmlformats.org/officeDocument/2006/relationships/worksheet" Target="/xl/worksheets/sheet3.xml" Id="R1e586b28cf8a4bab" /><Relationship Type="http://schemas.openxmlformats.org/officeDocument/2006/relationships/worksheet" Target="/xl/worksheets/sheet4.xml" Id="R6f51a5090cc64ff7" /><Relationship Type="http://schemas.openxmlformats.org/officeDocument/2006/relationships/worksheet" Target="/xl/worksheets/sheet5.xml" Id="Rd33d684968e045f3" /><Relationship Type="http://schemas.openxmlformats.org/officeDocument/2006/relationships/worksheet" Target="/xl/worksheets/sheet6.xml" Id="Rb9aa2bedfd5a479f" /><Relationship Type="http://schemas.openxmlformats.org/officeDocument/2006/relationships/worksheet" Target="/xl/worksheets/sheet7.xml" Id="R1fbc7826f7834e62" /><Relationship Type="http://schemas.openxmlformats.org/officeDocument/2006/relationships/worksheet" Target="/xl/worksheets/sheet8.xml" Id="Rd16f5a9239e94593" /><Relationship Type="http://schemas.openxmlformats.org/officeDocument/2006/relationships/worksheet" Target="/xl/worksheets/sheet9.xml" Id="R9b35c5b0d08d41b4" /><Relationship Type="http://schemas.openxmlformats.org/officeDocument/2006/relationships/worksheet" Target="/xl/worksheets/sheet10.xml" Id="R273d5092548647a4" /><Relationship Type="http://schemas.openxmlformats.org/officeDocument/2006/relationships/worksheet" Target="/xl/worksheets/sheet11.xml" Id="R20ab1de2d4e548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625b2502f864a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ヒアリング質問の優先度</a:t>
            </a:r>
          </a:p>
        </c:rich>
      </c:tx>
      <c:overlay val="0"/>
    </c:title>
    <c:autoTitleDeleted val="0"/>
    <c:plotArea>
      <c:layout/>
      <c:barChart>
        <c:barDir val="col"/>
        <c:varyColors val="0"/>
        <c:ser>
          <c:idx val="0"/>
          <c:order val="0"/>
          <c:tx>
            <c:v>質問数</c:v>
          </c:tx>
          <c:cat>
            <c:strRef>
              <c:f>'00_概要'!$D$5:$D$7</c:f>
              <c:strCache>
                <c:ptCount val="0"/>
              </c:strCache>
            </c:strRef>
          </c:cat>
          <c:val>
            <c:numRef>
              <c:f>'00_概要'!$E$5:$E$7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10</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25b2502f864aa7"/>
        </a:graphicData>
      </a:graphic>
    </xdr:graphicFrame>
    <xdr:clientData/>
  </xdr:twoCellAnchor>
</xdr:wsDr>
</file>

<file path=xl/tables/table1.xml><?xml version="1.0" encoding="utf-8"?>
<x:table xmlns:x="http://schemas.openxmlformats.org/spreadsheetml/2006/main" id="1" name="WorkflowHypothesisTable" displayName="WorkflowHypothesisTable" ref="A4:O27" headerRowCount="1">
  <x:tableColumns count="15">
    <x:tableColumn id="1" name="Process ID"/>
    <x:tableColumn id="2" name="順序"/>
    <x:tableColumn id="3" name="フェーズ"/>
    <x:tableColumn id="4" name="開始トリガー"/>
    <x:tableColumn id="5" name="主要処理"/>
    <x:tableColumn id="6" name="主担当"/>
    <x:tableColumn id="7" name="利用システム"/>
    <x:tableColumn id="8" name="主入力"/>
    <x:tableColumn id="9" name="判断ゲート"/>
    <x:tableColumn id="10" name="主出力"/>
    <x:tableColumn id="11" name="次状態"/>
    <x:tableColumn id="12" name="証跡"/>
    <x:tableColumn id="13" name="自動化候補"/>
    <x:tableColumn id="14" name="主要リスク"/>
    <x:tableColumn id="15" name="確認状態"/>
  </x:tableColumns>
  <x:tableStyleInfo name="TableStyleMedium2" showRowStripes="1"/>
</x:table>
</file>

<file path=xl/tables/table2.xml><?xml version="1.0" encoding="utf-8"?>
<x:table xmlns:x="http://schemas.openxmlformats.org/spreadsheetml/2006/main" id="2" name="InterviewQuestionTable" displayName="InterviewQuestionTable" ref="A4:P249" headerRowCount="1">
  <x:tableColumns count="16">
    <x:tableColumn id="1" name="質問ID"/>
    <x:tableColumn id="2" name="モジュール"/>
    <x:tableColumn id="3" name="対象工程"/>
    <x:tableColumn id="4" name="質問種別"/>
    <x:tableColumn id="5" name="聴取質問"/>
    <x:tableColumn id="6" name="確認する理由"/>
    <x:tableColumn id="7" name="回答形式"/>
    <x:tableColumn id="8" name="既存証拠/仮説"/>
    <x:tableColumn id="9" name="確認先/実物"/>
    <x:tableColumn id="10" name="回答者候補"/>
    <x:tableColumn id="11" name="優先度"/>
    <x:tableColumn id="12" name="自動観測性"/>
    <x:tableColumn id="13" name="回答状態"/>
    <x:tableColumn id="14" name="回答"/>
    <x:tableColumn id="15" name="追加調査/宿題"/>
    <x:tableColumn id="16" name="設計への反映"/>
  </x:tableColumns>
  <x:tableStyleInfo name="TableStyleMedium2" showRowStripes="1"/>
</x:table>
</file>

<file path=xl/tables/table3.xml><?xml version="1.0" encoding="utf-8"?>
<x:table xmlns:x="http://schemas.openxmlformats.org/spreadsheetml/2006/main" id="3" name="DataSourceRegisterTable" displayName="DataSourceRegisterTable" ref="A4:N26" headerRowCount="1">
  <x:tableColumns count="14">
    <x:tableColumn id="1" name="Source ID"/>
    <x:tableColumn id="2" name="システム"/>
    <x:tableColumn id="3" name="対象オブジェクト/場所"/>
    <x:tableColumn id="4" name="取得範囲"/>
    <x:tableColumn id="5" name="取得フィールド"/>
    <x:tableColumn id="6" name="主キー"/>
    <x:tableColumn id="7" name="結合先/結合キー"/>
    <x:tableColumn id="8" name="取得方法"/>
    <x:tableColumn id="9" name="更新頻度"/>
    <x:tableColumn id="10" name="責任者"/>
    <x:tableColumn id="11" name="機密度"/>
    <x:tableColumn id="12" name="想定役割"/>
    <x:tableColumn id="13" name="現状"/>
    <x:tableColumn id="14" name="備考"/>
  </x:tableColumns>
  <x:tableStyleInfo name="TableStyleMedium2" showRowStripes="1"/>
</x:table>
</file>

<file path=xl/tables/table4.xml><?xml version="1.0" encoding="utf-8"?>
<x:table xmlns:x="http://schemas.openxmlformats.org/spreadsheetml/2006/main" id="4" name="DocumentTypeTable" displayName="DocumentTypeTable" ref="A4:L39" headerRowCount="1">
  <x:tableColumns count="12">
    <x:tableColumn id="1" name="Doc Type ID"/>
    <x:tableColumn id="2" name="文書種別"/>
    <x:tableColumn id="3" name="方向"/>
    <x:tableColumn id="4" name="工程"/>
    <x:tableColumn id="5" name="役割/層"/>
    <x:tableColumn id="6" name="正本候補"/>
    <x:tableColumn id="7" name="必須メタデータ"/>
    <x:tableColumn id="8" name="結合先"/>
    <x:tableColumn id="9" name="自動化"/>
    <x:tableColumn id="10" name="機密度"/>
    <x:tableColumn id="11" name="証跡キー"/>
    <x:tableColumn id="12" name="現状"/>
  </x:tableColumns>
  <x:tableStyleInfo name="TableStyleMedium2" showRowStripes="1"/>
</x:table>
</file>

<file path=xl/tables/table5.xml><?xml version="1.0" encoding="utf-8"?>
<x:table xmlns:x="http://schemas.openxmlformats.org/spreadsheetml/2006/main" id="5" name="EventTaxonomyTable" displayName="EventTaxonomyTable" ref="A4:J76" headerRowCount="1">
  <x:tableColumns count="10">
    <x:tableColumn id="1" name="Event ID"/>
    <x:tableColumn id="2" name="event_type"/>
    <x:tableColumn id="3" name="分類"/>
    <x:tableColumn id="4" name="定義"/>
    <x:tableColumn id="5" name="主ソース"/>
    <x:tableColumn id="6" name="確定方法"/>
    <x:tableColumn id="7" name="状態への影響"/>
    <x:tableColumn id="8" name="必須属性"/>
    <x:tableColumn id="9" name="訂正原則"/>
    <x:tableColumn id="10" name="確認状態"/>
  </x:tableColumns>
  <x:tableStyleInfo name="TableStyleMedium2" showRowStripes="1"/>
</x:table>
</file>

<file path=xl/tables/table6.xml><?xml version="1.0" encoding="utf-8"?>
<x:table xmlns:x="http://schemas.openxmlformats.org/spreadsheetml/2006/main" id="6" name="StateMachineTable" displayName="StateMachineTable" ref="A4:F57" headerRowCount="1">
  <x:tableColumns count="6">
    <x:tableColumn id="1" name="状態機械"/>
    <x:tableColumn id="2" name="状態コード"/>
    <x:tableColumn id="3" name="表示名"/>
    <x:tableColumn id="4" name="主トリガー"/>
    <x:tableColumn id="5" name="遷移先候補"/>
    <x:tableColumn id="6" name="成立条件/注意"/>
  </x:tableColumns>
  <x:tableStyleInfo name="TableStyleMedium2" showRowStripes="1"/>
</x:table>
</file>

<file path=xl/tables/table7.xml><?xml version="1.0" encoding="utf-8"?>
<x:table xmlns:x="http://schemas.openxmlformats.org/spreadsheetml/2006/main" id="7" name="SFFieldMappingTable" displayName="SFFieldMappingTable" ref="A4:G48" headerRowCount="1">
  <x:tableColumns count="7">
    <x:tableColumn id="1" name="現行SFフィールド"/>
    <x:tableColumn id="2" name="表示名"/>
    <x:tableColumn id="3" name="目標概念"/>
    <x:tableColumn id="4" name="変換/補完ルール"/>
    <x:tableColumn id="5" name="重要度"/>
    <x:tableColumn id="6" name="用途"/>
    <x:tableColumn id="7" name="評価"/>
  </x:tableColumns>
  <x:tableStyleInfo name="TableStyleMedium2" showRowStripes="1"/>
</x:table>
</file>

<file path=xl/tables/table8.xml><?xml version="1.0" encoding="utf-8"?>
<x:table xmlns:x="http://schemas.openxmlformats.org/spreadsheetml/2006/main" id="8" name="EvidenceSampleTable" displayName="EvidenceSampleTable" ref="A4:H13" headerRowCount="1">
  <x:tableColumns count="8">
    <x:tableColumn id="1" name="Evidence ID"/>
    <x:tableColumn id="2" name="システム"/>
    <x:tableColumn id="3" name="場所/資料"/>
    <x:tableColumn id="4" name="観察対象"/>
    <x:tableColumn id="5" name="観察された実態"/>
    <x:tableColumn id="6" name="設計への含意"/>
    <x:tableColumn id="7" name="機密取扱"/>
    <x:tableColumn id="8" name="状態"/>
  </x:tableColumns>
  <x:tableStyleInfo name="TableStyleMedium2" showRowStripes="1"/>
</x:table>
</file>

<file path=xl/tables/table9.xml><?xml version="1.0" encoding="utf-8"?>
<x:table xmlns:x="http://schemas.openxmlformats.org/spreadsheetml/2006/main" id="9" name="DecisionLogTable" displayName="DecisionLogTable" ref="A4:H18" headerRowCount="1">
  <x:tableColumns count="8">
    <x:tableColumn id="1" name="Decision ID"/>
    <x:tableColumn id="2" name="設計判断/仮説"/>
    <x:tableColumn id="3" name="区分"/>
    <x:tableColumn id="4" name="理由"/>
    <x:tableColumn id="5" name="未解決論点"/>
    <x:tableColumn id="6" name="決定者"/>
    <x:tableColumn id="7" name="決定日"/>
    <x:tableColumn id="8" name="状態"/>
  </x:tableColumns>
  <x:tableStyleInfo name="TableStyleMedium2" showRowStripes="1"/>
</x:table>
</file>

<file path=xl/tables/table10.xml><?xml version="1.0" encoding="utf-8"?>
<x:table xmlns:x="http://schemas.openxmlformats.org/spreadsheetml/2006/main" id="10" name="GlossaryTable" displayName="GlossaryTable" ref="A4:C19" headerRowCount="1">
  <x:tableColumns count="3">
    <x:tableColumn id="1" name="分類"/>
    <x:tableColumn id="2" name="値"/>
    <x:tableColumn id="3" name="説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a08401a498d4107" /></Relationships>
</file>

<file path=xl/worksheets/_rels/sheet2.xml.rels>&#65279;<?xml version="1.0" encoding="utf-8"?><Relationships xmlns="http://schemas.openxmlformats.org/package/2006/relationships"><Relationship Type="http://schemas.openxmlformats.org/officeDocument/2006/relationships/table" Target="/xl/tables/table1.xml" Id="Rf8fb4e29c9d94062" /></Relationships>
</file>

<file path=xl/worksheets/_rels/sheet3.xml.rels>&#65279;<?xml version="1.0" encoding="utf-8"?><Relationships xmlns="http://schemas.openxmlformats.org/package/2006/relationships"><Relationship Type="http://schemas.openxmlformats.org/officeDocument/2006/relationships/table" Target="/xl/tables/table2.xml" Id="Ra39a88f009ca44ec" /></Relationships>
</file>

<file path=xl/worksheets/_rels/sheet4.xml.rels>&#65279;<?xml version="1.0" encoding="utf-8"?><Relationships xmlns="http://schemas.openxmlformats.org/package/2006/relationships"><Relationship Type="http://schemas.openxmlformats.org/officeDocument/2006/relationships/table" Target="/xl/tables/table3.xml" Id="Rf47466d105e84b86" /></Relationships>
</file>

<file path=xl/worksheets/_rels/sheet5.xml.rels>&#65279;<?xml version="1.0" encoding="utf-8"?><Relationships xmlns="http://schemas.openxmlformats.org/package/2006/relationships"><Relationship Type="http://schemas.openxmlformats.org/officeDocument/2006/relationships/table" Target="/xl/tables/table4.xml" Id="Rcb9e956a5f524550" /></Relationships>
</file>

<file path=xl/worksheets/_rels/sheet6.xml.rels>&#65279;<?xml version="1.0" encoding="utf-8"?><Relationships xmlns="http://schemas.openxmlformats.org/package/2006/relationships"><Relationship Type="http://schemas.openxmlformats.org/officeDocument/2006/relationships/table" Target="/xl/tables/table5.xml" Id="R1e6fa201251c44d3" /></Relationships>
</file>

<file path=xl/worksheets/_rels/sheet7.xml.rels>&#65279;<?xml version="1.0" encoding="utf-8"?><Relationships xmlns="http://schemas.openxmlformats.org/package/2006/relationships"><Relationship Type="http://schemas.openxmlformats.org/officeDocument/2006/relationships/table" Target="/xl/tables/table6.xml" Id="R077adb15cf2f4f6e" /></Relationships>
</file>

<file path=xl/worksheets/_rels/sheet8.xml.rels>&#65279;<?xml version="1.0" encoding="utf-8"?><Relationships xmlns="http://schemas.openxmlformats.org/package/2006/relationships"><Relationship Type="http://schemas.openxmlformats.org/officeDocument/2006/relationships/table" Target="/xl/tables/table7.xml" Id="R390842f80ba2466b" /></Relationships>
</file>

<file path=xl/worksheets/_rels/sheet9.xml.rels>&#65279;<?xml version="1.0" encoding="utf-8"?><Relationships xmlns="http://schemas.openxmlformats.org/package/2006/relationships"><Relationship Type="http://schemas.openxmlformats.org/officeDocument/2006/relationships/table" Target="/xl/tables/table8.xml" Id="R200ff0e5a52b4eab" /></Relationships>
</file>

<file path=xl/worksheets/_rels/sheet10.xml.rels>&#65279;<?xml version="1.0" encoding="utf-8"?><Relationships xmlns="http://schemas.openxmlformats.org/package/2006/relationships"><Relationship Type="http://schemas.openxmlformats.org/officeDocument/2006/relationships/table" Target="/xl/tables/table9.xml" Id="Rec50742da47041bd" /></Relationships>
</file>

<file path=xl/worksheets/_rels/sheet11.xml.rels>&#65279;<?xml version="1.0" encoding="utf-8"?><Relationships xmlns="http://schemas.openxmlformats.org/package/2006/relationships"><Relationship Type="http://schemas.openxmlformats.org/officeDocument/2006/relationships/table" Target="/xl/tables/table10.xml" Id="R0e97850d52b04819" /></Relationships>
</file>

<file path=xl/worksheets/sheet1.xml><?xml version="1.0" encoding="utf-8"?>
<x:worksheet xmlns:x="http://schemas.openxmlformats.org/spreadsheetml/2006/main">
  <x:sheetFormatPr defaultRowHeight="15"/>
  <x:cols>
    <x:col min="1" max="1" width="34" hidden="0" customWidth="1"/>
    <x:col min="2" max="2" width="22" hidden="0" customWidth="1"/>
    <x:col min="4" max="4" width="34" hidden="0" customWidth="1"/>
    <x:col min="5" max="5" width="30" hidden="0" customWidth="1"/>
    <x:col min="3" max="3" width="28" hidden="0" customWidth="1"/>
    <x:col min="6" max="6" width="11" hidden="0" customWidth="1"/>
    <x:col min="7" max="7" width="11" hidden="0" customWidth="1"/>
    <x:col min="8" max="8" width="11" hidden="0" customWidth="1"/>
    <x:col min="9" max="9" width="11" hidden="0" customWidth="1"/>
    <x:col min="10" max="10" width="11" hidden="0" customWidth="1"/>
  </x:cols>
  <x:sheetData>
    <x:row r="1" ht="30" customHeight="1">
      <x:c r="A1" s="5" t="str">
        <x:v>浅井法律事務所 業務フロー実査台帳 v0.1</x:v>
      </x:c>
      <x:c r="B1" s="5"/>
      <x:c r="C1" s="5"/>
      <x:c r="D1" s="5"/>
      <x:c r="E1" s="5"/>
      <x:c r="F1" s="5"/>
      <x:c r="G1" s="5"/>
      <x:c r="H1" s="5"/>
      <x:c r="I1" s="5"/>
      <x:c r="J1" s="5"/>
    </x:row>
    <x:row r="2" ht="32" customHeight="1">
      <x:c r="A2" s="13" t="str">
        <x:v>目的：Salesforceを制御塔、Boxを文書正本、Gmail/Dialpad/Notta/Calendar等を観測ソースとして、相談から終結までの業務をイベント・作業・文書・判断・財務に分解する。</x:v>
      </x:c>
      <x:c r="B2" s="13"/>
      <x:c r="C2" s="13"/>
      <x:c r="D2" s="13"/>
      <x:c r="E2" s="13"/>
      <x:c r="F2" s="13"/>
      <x:c r="G2" s="13"/>
      <x:c r="H2" s="13"/>
      <x:c r="I2" s="13"/>
      <x:c r="J2" s="13"/>
    </x:row>
    <x:row r="4">
      <x:c r="A4" s="20" t="str">
        <x:v>KPI</x:v>
      </x:c>
      <x:c r="B4" s="20" t="str">
        <x:v>値</x:v>
      </x:c>
      <x:c r="D4" s="20" t="str">
        <x:v>優先度</x:v>
      </x:c>
      <x:c r="E4" s="20" t="str">
        <x:v>質問数</x:v>
      </x:c>
    </x:row>
    <x:row r="5">
      <x:c r="A5" s="28" t="str">
        <x:v>ヒアリング質問総数</x:v>
      </x:c>
      <x:c r="B5" s="53" t="n">
        <x:f>COUNTA('02_ヒアリング質問'!A5:A500)</x:f>
        <x:v>245</x:v>
      </x:c>
      <x:c r="D5" s="30" t="str">
        <x:v>P0</x:v>
      </x:c>
      <x:c r="E5" s="55" t="n">
        <x:f>COUNTIF('02_ヒアリング質問'!K5:K500,"P0")</x:f>
        <x:v>58</x:v>
      </x:c>
    </x:row>
    <x:row r="6">
      <x:c r="A6" s="28" t="str">
        <x:v>未回答</x:v>
      </x:c>
      <x:c r="B6" s="53" t="n">
        <x:f>COUNTIF('02_ヒアリング質問'!M5:M500,"未回答")</x:f>
        <x:v>245</x:v>
      </x:c>
      <x:c r="D6" s="30" t="str">
        <x:v>P1</x:v>
      </x:c>
      <x:c r="E6" s="55" t="n">
        <x:f>COUNTIF('02_ヒアリング質問'!K5:K500,"P1")</x:f>
        <x:v>90</x:v>
      </x:c>
    </x:row>
    <x:row r="7">
      <x:c r="A7" s="28" t="str">
        <x:v>回答済</x:v>
      </x:c>
      <x:c r="B7" s="53" t="n">
        <x:f>COUNTIF('02_ヒアリング質問'!M5:M500,"回答済")</x:f>
        <x:v>0</x:v>
      </x:c>
      <x:c r="D7" s="30" t="str">
        <x:v>P2</x:v>
      </x:c>
      <x:c r="E7" s="55" t="n">
        <x:f>COUNTIF('02_ヒアリング質問'!K5:K500,"P2")</x:f>
        <x:v>97</x:v>
      </x:c>
    </x:row>
    <x:row r="8">
      <x:c r="A8" s="28" t="str">
        <x:v>P0質問</x:v>
      </x:c>
      <x:c r="B8" s="53" t="n">
        <x:f>COUNTIF('02_ヒアリング質問'!K5:K500,"P0")</x:f>
        <x:v>58</x:v>
      </x:c>
    </x:row>
    <x:row r="9">
      <x:c r="A9" s="28" t="str">
        <x:v>フロー仮説数</x:v>
      </x:c>
      <x:c r="B9" s="53" t="n">
        <x:f>COUNTA('01_フロー仮説'!A5:A100)</x:f>
        <x:v>23</x:v>
      </x:c>
    </x:row>
    <x:row r="10">
      <x:c r="A10" s="28" t="str">
        <x:v>要確認フロー</x:v>
      </x:c>
      <x:c r="B10" s="53" t="n">
        <x:f>COUNTIF('01_フロー仮説'!O5:O100,"要確認")</x:f>
        <x:v>20</x:v>
      </x:c>
    </x:row>
    <x:row r="11">
      <x:c r="A11" s="28" t="str">
        <x:v>データソース数</x:v>
      </x:c>
      <x:c r="B11" s="53" t="n">
        <x:f>COUNTA('03_データ取得台帳'!A5:A100)</x:f>
        <x:v>22</x:v>
      </x:c>
    </x:row>
    <x:row r="12">
      <x:c r="A12" s="28" t="str">
        <x:v>文書種別数</x:v>
      </x:c>
      <x:c r="B12" s="53" t="n">
        <x:f>COUNTA('04_文書種別台帳'!A5:A100)</x:f>
        <x:v>35</x:v>
      </x:c>
    </x:row>
    <x:row r="15" ht="24" customHeight="1">
      <x:c r="A15" s="31" t="str">
        <x:v>推奨する最初の2つのPoC</x:v>
      </x:c>
      <x:c r="B15" s="31"/>
      <x:c r="C15" s="31"/>
      <x:c r="D15" s="31"/>
      <x:c r="E15" s="31"/>
      <x:c r="F15" s="31"/>
      <x:c r="G15" s="31"/>
      <x:c r="H15" s="31"/>
      <x:c r="I15" s="31"/>
      <x:c r="J15" s="31"/>
    </x:row>
    <x:row r="16">
      <x:c r="A16" s="35" t="str">
        <x:v>PoC</x:v>
      </x:c>
      <x:c r="B16" s="35" t="str">
        <x:v>対象</x:v>
      </x:c>
      <x:c r="C16" s="35" t="str">
        <x:v>入力</x:v>
      </x:c>
      <x:c r="D16" s="35" t="str">
        <x:v>出力/KPI</x:v>
      </x:c>
      <x:c r="E16" s="35" t="str">
        <x:v>人間必須ゲート</x:v>
      </x:c>
      <x:c r="F16" s="35" t="str"/>
      <x:c r="G16" s="35" t="str"/>
      <x:c r="H16" s="35" t="str"/>
      <x:c r="I16" s="35" t="str"/>
      <x:c r="J16" s="35" t="str"/>
    </x:row>
    <x:row r="17">
      <x:c r="A17" s="35" t="str">
        <x:v>1</x:v>
      </x:c>
      <x:c r="B17" s="35" t="str">
        <x:v>相談→受任</x:v>
      </x:c>
      <x:c r="C17" s="35" t="str">
        <x:v>SF相談、Gmail、Calendar、Box、Dialpad/Notta</x:v>
      </x:c>
      <x:c r="D17" s="35" t="str">
        <x:v>未設定next_action率、各段階所要日数、失注理由、未紐付け率</x:v>
      </x:c>
      <x:c r="E17" s="35" t="str">
        <x:v>コンフリ、受任提案、契約成立</x:v>
      </x:c>
      <x:c r="F17" s="35" t="str"/>
      <x:c r="G17" s="35" t="str"/>
      <x:c r="H17" s="35" t="str"/>
      <x:c r="I17" s="35" t="str"/>
      <x:c r="J17" s="35" t="str"/>
    </x:row>
    <x:row r="18">
      <x:c r="A18" s="35" t="str">
        <x:v>2</x:v>
      </x:c>
      <x:c r="B18" s="35" t="str">
        <x:v>解決→終結</x:v>
      </x:c>
      <x:c r="C18" s="35" t="str">
        <x:v>SF案件/会計、MF、Box、郵便/メール</x:v>
      </x:c>
      <x:c r="D18" s="35" t="str">
        <x:v>未請求・未精算・未返却・未送付をゼロ化</x:v>
      </x:c>
      <x:c r="E18" s="35" t="str">
        <x:v>最終費用、預り金精算、原本返却、close</x:v>
      </x:c>
      <x:c r="F18" s="35" t="str"/>
      <x:c r="G18" s="35" t="str"/>
      <x:c r="H18" s="35" t="str"/>
      <x:c r="I18" s="35" t="str"/>
      <x:c r="J18" s="35" t="str"/>
    </x:row>
    <x:row r="19">
      <x:c r="A19" s="35" t="str">
        <x:v>原則</x:v>
      </x:c>
      <x:c r="B19" s="35" t="str">
        <x:v>状態を1列に押し込まない</x:v>
      </x:c>
      <x:c r="C19" s="35" t="str">
        <x:v>Consultation/Matter/WorkItem/Document/Finance/Deadlineを分離</x:v>
      </x:c>
      <x:c r="D19" s="35" t="str">
        <x:v>declared_stateとobserved_stateを比較</x:v>
      </x:c>
      <x:c r="E19" s="35" t="str">
        <x:v>訂正はraw削除でなく無効化＋新イベント</x:v>
      </x:c>
      <x:c r="F19" s="35" t="str"/>
      <x:c r="G19" s="35" t="str"/>
      <x:c r="H19" s="35" t="str"/>
      <x:c r="I19" s="35" t="str"/>
      <x:c r="J19" s="35" t="str"/>
    </x:row>
    <x:row r="20">
      <x:c r="A20" s="35" t="str">
        <x:v>運用</x:v>
      </x:c>
      <x:c r="B20" s="35" t="str">
        <x:v>追加手入力は最小限</x:v>
      </x:c>
      <x:c r="C20" s="35" t="str">
        <x:v>自然発生データ→候補→一括承認</x:v>
      </x:c>
      <x:c r="D20" s="35" t="str">
        <x:v>P0判断のみ人間必須</x:v>
      </x:c>
      <x:c r="E20" s="35" t="str">
        <x:v>source native IDとprovenanceを保持</x:v>
      </x:c>
      <x:c r="F20" s="35" t="str"/>
      <x:c r="G20" s="35" t="str"/>
      <x:c r="H20" s="35" t="str"/>
      <x:c r="I20" s="35" t="str"/>
      <x:c r="J20" s="35" t="str"/>
    </x:row>
  </x:sheetData>
  <x:mergeCells>
    <x:mergeCell ref="A1:J1"/>
    <x:mergeCell ref="A2:J2"/>
    <x:mergeCell ref="A15:J15"/>
    <x:mergeCell ref="E16:J16"/>
    <x:mergeCell ref="E17:J17"/>
    <x:mergeCell ref="E18:J18"/>
    <x:mergeCell ref="E19:J19"/>
    <x:mergeCell ref="E20:J20"/>
  </x:mergeCells>
  <x:pageMargins left="0.7" right="0.7" top="0.75" bottom="0.75" header="0.3" footer="0.3"/>
  <x:drawing xmlns:r="http://schemas.openxmlformats.org/officeDocument/2006/relationships" r:id="Rfa08401a498d4107"/>
</x:worksheet>
</file>

<file path=xl/worksheets/sheet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26" hidden="0" customWidth="1"/>
    <x:col min="5" max="5" width="34" hidden="0" customWidth="1"/>
    <x:col min="6" max="6" width="18" hidden="0" customWidth="1"/>
    <x:col min="7" max="7" width="30" hidden="0" customWidth="1"/>
    <x:col min="8" max="8" width="28" hidden="0" customWidth="1"/>
    <x:col min="9" max="9" width="25" hidden="0" customWidth="1"/>
    <x:col min="10" max="10" width="22" hidden="0" customWidth="1"/>
    <x:col min="11" max="11" width="18" hidden="0" customWidth="1"/>
    <x:col min="12" max="12" width="28" hidden="0" customWidth="1"/>
    <x:col min="13" max="13" width="32" hidden="0" customWidth="1"/>
    <x:col min="14" max="14" width="26" hidden="0" customWidth="1"/>
    <x:col min="15" max="15" width="12" hidden="0" customWidth="1"/>
  </x:cols>
  <x:sheetData>
    <x:row r="1" ht="30" customHeight="1">
      <x:c r="A1" s="5" t="str">
        <x:v>End-to-End 業務フロー仮説</x:v>
      </x:c>
      <x:c r="B1" s="5"/>
      <x:c r="C1" s="5"/>
      <x:c r="D1" s="5"/>
      <x:c r="E1" s="5"/>
      <x:c r="F1" s="5"/>
      <x:c r="G1" s="5"/>
      <x:c r="H1" s="5"/>
      <x:c r="I1" s="5"/>
      <x:c r="J1" s="5"/>
      <x:c r="K1" s="5"/>
      <x:c r="L1" s="5"/>
      <x:c r="M1" s="5"/>
      <x:c r="N1" s="5"/>
      <x:c r="O1" s="5"/>
    </x:row>
    <x:row r="2" ht="32" customHeight="1">
      <x:c r="A2" s="13" t="str">
        <x:v>相談流入から終結・知識化までの初期仮説。各行を実物・聴取で検証し、標準フロー、例外、責任者、SLAを確定する。</x:v>
      </x:c>
      <x:c r="B2" s="13"/>
      <x:c r="C2" s="13"/>
      <x:c r="D2" s="13"/>
      <x:c r="E2" s="13"/>
      <x:c r="F2" s="13"/>
      <x:c r="G2" s="13"/>
      <x:c r="H2" s="13"/>
      <x:c r="I2" s="13"/>
      <x:c r="J2" s="13"/>
      <x:c r="K2" s="13"/>
      <x:c r="L2" s="13"/>
      <x:c r="M2" s="13"/>
      <x:c r="N2" s="13"/>
      <x:c r="O2" s="13"/>
    </x:row>
    <x:row r="4" ht="30" customHeight="1">
      <x:c r="A4" s="42" t="str">
        <x:v>Process ID</x:v>
      </x:c>
      <x:c r="B4" s="42" t="str">
        <x:v>順序</x:v>
      </x:c>
      <x:c r="C4" s="42" t="str">
        <x:v>フェーズ</x:v>
      </x:c>
      <x:c r="D4" s="42" t="str">
        <x:v>開始トリガー</x:v>
      </x:c>
      <x:c r="E4" s="42" t="str">
        <x:v>主要処理</x:v>
      </x:c>
      <x:c r="F4" s="42" t="str">
        <x:v>主担当</x:v>
      </x:c>
      <x:c r="G4" s="42" t="str">
        <x:v>利用システム</x:v>
      </x:c>
      <x:c r="H4" s="42" t="str">
        <x:v>主入力</x:v>
      </x:c>
      <x:c r="I4" s="42" t="str">
        <x:v>判断ゲート</x:v>
      </x:c>
      <x:c r="J4" s="42" t="str">
        <x:v>主出力</x:v>
      </x:c>
      <x:c r="K4" s="42" t="str">
        <x:v>次状態</x:v>
      </x:c>
      <x:c r="L4" s="42" t="str">
        <x:v>証跡</x:v>
      </x:c>
      <x:c r="M4" s="42" t="str">
        <x:v>自動化候補</x:v>
      </x:c>
      <x:c r="N4" s="42" t="str">
        <x:v>主要リスク</x:v>
      </x:c>
      <x:c r="O4" s="42" t="str">
        <x:v>確認状態</x:v>
      </x:c>
    </x:row>
    <x:row r="5">
      <x:c r="A5" s="49" t="str">
        <x:v>WF-00</x:v>
      </x:c>
      <x:c r="B5" s="49" t="n">
        <x:v>0</x:v>
      </x:c>
      <x:c r="C5" s="49" t="str">
        <x:v>認知・紹介</x:v>
      </x:c>
      <x:c r="D5" s="49" t="str">
        <x:v>紹介・HP・セミナー・既存顧客から接点発生</x:v>
      </x:c>
      <x:c r="E5" s="49" t="str">
        <x:v>流入元と紹介関係を記録</x:v>
      </x:c>
      <x:c r="F5" s="49" t="str">
        <x:v>弁護士/事務局</x:v>
      </x:c>
      <x:c r="G5" s="49" t="str">
        <x:v>Gmail, Dialpad, Salesforce</x:v>
      </x:c>
      <x:c r="H5" s="49" t="str">
        <x:v>送信者・紹介者・問い合わせ文</x:v>
      </x:c>
      <x:c r="I5" s="49" t="str">
        <x:v>営業/相談/既存案件連絡の判定</x:v>
      </x:c>
      <x:c r="J5" s="49" t="str">
        <x:v>lead_source</x:v>
      </x:c>
      <x:c r="K5" s="49" t="str">
        <x:v>WF-01</x:v>
      </x:c>
      <x:c r="L5" s="49" t="str">
        <x:v>メール/通話/紹介記録</x:v>
      </x:c>
      <x:c r="M5" s="49" t="str">
        <x:v>自然発生データから流入経路候補</x:v>
      </x:c>
      <x:c r="N5" s="49" t="str">
        <x:v>紹介関係の取り違え</x:v>
      </x:c>
      <x:c r="O5" s="49" t="str">
        <x:v>要確認</x:v>
      </x:c>
    </x:row>
    <x:row r="6">
      <x:c r="A6" s="49" t="str">
        <x:v>WF-01</x:v>
      </x:c>
      <x:c r="B6" s="49" t="n">
        <x:v>1</x:v>
      </x:c>
      <x:c r="C6" s="49" t="str">
        <x:v>問合せ受付</x:v>
      </x:c>
      <x:c r="D6" s="49" t="str">
        <x:v>新規連絡を受信</x:v>
      </x:c>
      <x:c r="E6" s="49" t="str">
        <x:v>相談候補を作成し最低限の本人・案件情報を取得</x:v>
      </x:c>
      <x:c r="F6" s="49" t="str">
        <x:v>事務局</x:v>
      </x:c>
      <x:c r="G6" s="49" t="str">
        <x:v>Gmail, Dialpad, Salesforce</x:v>
      </x:c>
      <x:c r="H6" s="49" t="str">
        <x:v>氏名/法人・連絡先・相談要旨</x:v>
      </x:c>
      <x:c r="I6" s="49" t="str">
        <x:v>相談レコードを作るか</x:v>
      </x:c>
      <x:c r="J6" s="49" t="str">
        <x:v>consultation_created</x:v>
      </x:c>
      <x:c r="K6" s="49" t="str">
        <x:v>WF-02</x:v>
      </x:c>
      <x:c r="L6" s="49" t="str">
        <x:v>メールID/通話ID/SF作成履歴</x:v>
      </x:c>
      <x:c r="M6" s="49" t="str">
        <x:v>問い合わせ分類・重複検知</x:v>
      </x:c>
      <x:c r="N6" s="49" t="str">
        <x:v>営業・既存案件の誤登録</x:v>
      </x:c>
      <x:c r="O6" s="49" t="str">
        <x:v>要確認</x:v>
      </x:c>
    </x:row>
    <x:row r="7">
      <x:c r="A7" s="49" t="str">
        <x:v>WF-02</x:v>
      </x:c>
      <x:c r="B7" s="49" t="n">
        <x:v>2</x:v>
      </x:c>
      <x:c r="C7" s="49" t="str">
        <x:v>安全連絡・本人関係確認</x:v>
      </x:c>
      <x:c r="D7" s="49" t="str">
        <x:v>相談候補作成</x:v>
      </x:c>
      <x:c r="E7" s="49" t="str">
        <x:v>本人/代理人/法人関係と安全な連絡手段を確認</x:v>
      </x:c>
      <x:c r="F7" s="49" t="str">
        <x:v>事務局</x:v>
      </x:c>
      <x:c r="G7" s="49" t="str">
        <x:v>Salesforce, Gmail, Dialpad</x:v>
      </x:c>
      <x:c r="H7" s="49" t="str">
        <x:v>本人属性・代理関係・連絡制約</x:v>
      </x:c>
      <x:c r="I7" s="49" t="str">
        <x:v>連絡可否・本人確認水準</x:v>
      </x:c>
      <x:c r="J7" s="49" t="str">
        <x:v>safe_contact_set</x:v>
      </x:c>
      <x:c r="K7" s="49" t="str">
        <x:v>WF-03</x:v>
      </x:c>
      <x:c r="L7" s="49" t="str">
        <x:v>確認メモ/メール</x:v>
      </x:c>
      <x:c r="M7" s="49" t="str">
        <x:v>署名・電話番号・既存Account照合</x:v>
      </x:c>
      <x:c r="N7" s="49" t="str">
        <x:v>秘匿住所・DV等</x:v>
      </x:c>
      <x:c r="O7" s="49" t="str">
        <x:v>要確認</x:v>
      </x:c>
    </x:row>
    <x:row r="8">
      <x:c r="A8" s="49" t="str">
        <x:v>WF-03</x:v>
      </x:c>
      <x:c r="B8" s="49" t="n">
        <x:v>3</x:v>
      </x:c>
      <x:c r="C8" s="49" t="str">
        <x:v>コンフリクト確認</x:v>
      </x:c>
      <x:c r="D8" s="49" t="str">
        <x:v>当事者・関係者名取得</x:v>
      </x:c>
      <x:c r="E8" s="49" t="str">
        <x:v>依頼者/相手方/関連当事者を検索し判断</x:v>
      </x:c>
      <x:c r="F8" s="49" t="str">
        <x:v>弁護士＋事務局</x:v>
      </x:c>
      <x:c r="G8" s="49" t="str">
        <x:v>Salesforce, Box, Gmail</x:v>
      </x:c>
      <x:c r="H8" s="49" t="str">
        <x:v>当事者名・別名・法人関係</x:v>
      </x:c>
      <x:c r="I8" s="49" t="str">
        <x:v>pass/fail/escalate</x:v>
      </x:c>
      <x:c r="J8" s="49" t="str">
        <x:v>conflict_result</x:v>
      </x:c>
      <x:c r="K8" s="49" t="str">
        <x:v>WF-04</x:v>
      </x:c>
      <x:c r="L8" s="49" t="str">
        <x:v>検索条件・結果・承認者</x:v>
      </x:c>
      <x:c r="M8" s="49" t="str">
        <x:v>名称候補生成・既存関係グラフ検索</x:v>
      </x:c>
      <x:c r="N8" s="49" t="str">
        <x:v>偽陰性が重大</x:v>
      </x:c>
      <x:c r="O8" s="49" t="str">
        <x:v>要確認</x:v>
      </x:c>
    </x:row>
    <x:row r="9">
      <x:c r="A9" s="49" t="str">
        <x:v>WF-04</x:v>
      </x:c>
      <x:c r="B9" s="49" t="n">
        <x:v>4</x:v>
      </x:c>
      <x:c r="C9" s="49" t="str">
        <x:v>受入可否・緊急度トリアージ</x:v>
      </x:c>
      <x:c r="D9" s="49" t="str">
        <x:v>コンフリクトpass又は緊急例外</x:v>
      </x:c>
      <x:c r="E9" s="49" t="str">
        <x:v>分野、期限、適合性、予算、利益相反以外の受任可否を評価</x:v>
      </x:c>
      <x:c r="F9" s="49" t="str">
        <x:v>弁護士</x:v>
      </x:c>
      <x:c r="G9" s="49" t="str">
        <x:v>Salesforce, Gmail, Dialpad</x:v>
      </x:c>
      <x:c r="H9" s="49" t="str">
        <x:v>相談概要・期限・資料</x:v>
      </x:c>
      <x:c r="I9" s="49" t="str">
        <x:v>consult/refer/decline</x:v>
      </x:c>
      <x:c r="J9" s="49" t="str">
        <x:v>triage_decision</x:v>
      </x:c>
      <x:c r="K9" s="49" t="str">
        <x:v>WF-05</x:v>
      </x:c>
      <x:c r="L9" s="49" t="str">
        <x:v>弁護士判断・理由</x:v>
      </x:c>
      <x:c r="M9" s="49" t="str">
        <x:v>期限・分野・不適合候補抽出</x:v>
      </x:c>
      <x:c r="N9" s="49" t="str">
        <x:v>緊急案件の見落とし</x:v>
      </x:c>
      <x:c r="O9" s="49" t="str">
        <x:v>要確認</x:v>
      </x:c>
    </x:row>
    <x:row r="10">
      <x:c r="A10" s="49" t="str">
        <x:v>WF-05</x:v>
      </x:c>
      <x:c r="B10" s="49" t="n">
        <x:v>5</x:v>
      </x:c>
      <x:c r="C10" s="49" t="str">
        <x:v>相談日程調整</x:v>
      </x:c>
      <x:c r="D10" s="49" t="str">
        <x:v>相談実施GO</x:v>
      </x:c>
      <x:c r="E10" s="49" t="str">
        <x:v>候補日時・方法・相談料を提示し確定</x:v>
      </x:c>
      <x:c r="F10" s="49" t="str">
        <x:v>弁護士/事務局</x:v>
      </x:c>
      <x:c r="G10" s="49" t="str">
        <x:v>Gmail, Calendar, Salesforce</x:v>
      </x:c>
      <x:c r="H10" s="49" t="str">
        <x:v>候補日時・参加者・相談料</x:v>
      </x:c>
      <x:c r="I10" s="49" t="str">
        <x:v>日時/方式/費用合意</x:v>
      </x:c>
      <x:c r="J10" s="49" t="str">
        <x:v>consultation_scheduled</x:v>
      </x:c>
      <x:c r="K10" s="49" t="str">
        <x:v>WF-06</x:v>
      </x:c>
      <x:c r="L10" s="49" t="str">
        <x:v>メールスレッド・Calendar Event</x:v>
      </x:c>
      <x:c r="M10" s="49" t="str">
        <x:v>日程候補生成・確定検知</x:v>
      </x:c>
      <x:c r="N10" s="49" t="str">
        <x:v>二重予約・料金説明漏れ</x:v>
      </x:c>
      <x:c r="O10" s="49" t="str">
        <x:v>要確認</x:v>
      </x:c>
    </x:row>
    <x:row r="11">
      <x:c r="A11" s="49" t="str">
        <x:v>WF-06</x:v>
      </x:c>
      <x:c r="B11" s="49" t="n">
        <x:v>6</x:v>
      </x:c>
      <x:c r="C11" s="49" t="str">
        <x:v>事前資料依頼・受領</x:v>
      </x:c>
      <x:c r="D11" s="49" t="str">
        <x:v>相談日時確定</x:v>
      </x:c>
      <x:c r="E11" s="49" t="str">
        <x:v>必要資料を依頼し、受領・分類・不足を追跡</x:v>
      </x:c>
      <x:c r="F11" s="49" t="str">
        <x:v>事務局＋担当弁護士</x:v>
      </x:c>
      <x:c r="G11" s="49" t="str">
        <x:v>Gmail, Box, Salesforce</x:v>
      </x:c>
      <x:c r="H11" s="49" t="str">
        <x:v>資料一覧・添付/共有URL</x:v>
      </x:c>
      <x:c r="I11" s="49" t="str">
        <x:v>相談前必須資料が揃ったか</x:v>
      </x:c>
      <x:c r="J11" s="49" t="str">
        <x:v>document_checklist</x:v>
      </x:c>
      <x:c r="K11" s="49" t="str">
        <x:v>WF-07</x:v>
      </x:c>
      <x:c r="L11" s="49" t="str">
        <x:v>依頼メール・Box file ID</x:v>
      </x:c>
      <x:c r="M11" s="49" t="str">
        <x:v>添付保存・文書種別・不足リマインド</x:v>
      </x:c>
      <x:c r="N11" s="49" t="str">
        <x:v>資料の案件誤紐付け</x:v>
      </x:c>
      <x:c r="O11" s="49" t="str">
        <x:v>要確認</x:v>
      </x:c>
    </x:row>
    <x:row r="12">
      <x:c r="A12" s="49" t="str">
        <x:v>WF-07</x:v>
      </x:c>
      <x:c r="B12" s="49" t="n">
        <x:v>7</x:v>
      </x:c>
      <x:c r="C12" s="49" t="str">
        <x:v>相談実施</x:v>
      </x:c>
      <x:c r="D12" s="49" t="str">
        <x:v>予約時刻到来</x:v>
      </x:c>
      <x:c r="E12" s="49" t="str">
        <x:v>事実・目的・制約・選択肢・助言を記録</x:v>
      </x:c>
      <x:c r="F12" s="49" t="str">
        <x:v>担当弁護士</x:v>
      </x:c>
      <x:c r="G12" s="49" t="str">
        <x:v>Calendar, Meet/Notta, Salesforce</x:v>
      </x:c>
      <x:c r="H12" s="49" t="str">
        <x:v>相談票・資料・会議</x:v>
      </x:c>
      <x:c r="I12" s="49" t="str">
        <x:v>相談完了/継続/打切り</x:v>
      </x:c>
      <x:c r="J12" s="49" t="str">
        <x:v>consultation_completed</x:v>
      </x:c>
      <x:c r="K12" s="49" t="str">
        <x:v>WF-08</x:v>
      </x:c>
      <x:c r="L12" s="49" t="str">
        <x:v>議事録・相談票・活動履歴</x:v>
      </x:c>
      <x:c r="M12" s="49" t="str">
        <x:v>参加者・要点・アクション抽出</x:v>
      </x:c>
      <x:c r="N12" s="49" t="str">
        <x:v>要約だけで判断しない</x:v>
      </x:c>
      <x:c r="O12" s="49" t="str">
        <x:v>要確認</x:v>
      </x:c>
    </x:row>
    <x:row r="13">
      <x:c r="A13" s="49" t="str">
        <x:v>WF-08</x:v>
      </x:c>
      <x:c r="B13" s="49" t="n">
        <x:v>8</x:v>
      </x:c>
      <x:c r="C13" s="49" t="str">
        <x:v>相談後評価</x:v>
      </x:c>
      <x:c r="D13" s="49" t="str">
        <x:v>相談完了</x:v>
      </x:c>
      <x:c r="E13" s="49" t="str">
        <x:v>受任適否・必要追加資料・方針・概算費用を評価</x:v>
      </x:c>
      <x:c r="F13" s="49" t="str">
        <x:v>担当弁護士</x:v>
      </x:c>
      <x:c r="G13" s="49" t="str">
        <x:v>Salesforce, Notta, Box</x:v>
      </x:c>
      <x:c r="H13" s="49" t="str">
        <x:v>相談記録・証拠・法的評価</x:v>
      </x:c>
      <x:c r="I13" s="49" t="str">
        <x:v>受任提案/追加相談/非受任</x:v>
      </x:c>
      <x:c r="J13" s="49" t="str">
        <x:v>post_consult_decision</x:v>
      </x:c>
      <x:c r="K13" s="49" t="str">
        <x:v>WF-09</x:v>
      </x:c>
      <x:c r="L13" s="49" t="str">
        <x:v>判断記録・根拠参照</x:v>
      </x:c>
      <x:c r="M13" s="49" t="str">
        <x:v>論点・不足・次行動候補</x:v>
      </x:c>
      <x:c r="N13" s="49" t="str">
        <x:v>無料追加対応の境界</x:v>
      </x:c>
      <x:c r="O13" s="49" t="str">
        <x:v>要確認</x:v>
      </x:c>
    </x:row>
    <x:row r="14">
      <x:c r="A14" s="49" t="str">
        <x:v>WF-09</x:v>
      </x:c>
      <x:c r="B14" s="49" t="n">
        <x:v>9</x:v>
      </x:c>
      <x:c r="C14" s="49" t="str">
        <x:v>見積・提案作成</x:v>
      </x:c>
      <x:c r="D14" s="49" t="str">
        <x:v>受任提案GO又は顧客から見積依頼</x:v>
      </x:c>
      <x:c r="E14" s="49" t="str">
        <x:v>範囲・前提・料金・除外・支払条件を案文化</x:v>
      </x:c>
      <x:c r="F14" s="49" t="str">
        <x:v>担当弁護士＋事務局</x:v>
      </x:c>
      <x:c r="G14" s="49" t="str">
        <x:v>Word, Box, Salesforce, MF</x:v>
      </x:c>
      <x:c r="H14" s="49" t="str">
        <x:v>方針・料金モデル・承認</x:v>
      </x:c>
      <x:c r="I14" s="49" t="str">
        <x:v>内部承認</x:v>
      </x:c>
      <x:c r="J14" s="49" t="str">
        <x:v>proposal_created</x:v>
      </x:c>
      <x:c r="K14" s="49" t="str">
        <x:v>WF-10</x:v>
      </x:c>
      <x:c r="L14" s="49" t="str">
        <x:v>見積書版・承認履歴</x:v>
      </x:c>
      <x:c r="M14" s="49" t="str">
        <x:v>テンプレート差込・版管理</x:v>
      </x:c>
      <x:c r="N14" s="49" t="str">
        <x:v>スコープ曖昧</x:v>
      </x:c>
      <x:c r="O14" s="49" t="str">
        <x:v>要確認</x:v>
      </x:c>
    </x:row>
    <x:row r="15">
      <x:c r="A15" s="49" t="str">
        <x:v>WF-10</x:v>
      </x:c>
      <x:c r="B15" s="49" t="n">
        <x:v>10</x:v>
      </x:c>
      <x:c r="C15" s="49" t="str">
        <x:v>提案・契約案送付</x:v>
      </x:c>
      <x:c r="D15" s="49" t="str">
        <x:v>内部承認完了</x:v>
      </x:c>
      <x:c r="E15" s="49" t="str">
        <x:v>見積・委任契約案等を一式で送付</x:v>
      </x:c>
      <x:c r="F15" s="49" t="str">
        <x:v>事務局</x:v>
      </x:c>
      <x:c r="G15" s="49" t="str">
        <x:v>Gmail, Box, Salesforce</x:v>
      </x:c>
      <x:c r="H15" s="49" t="str">
        <x:v>proposal package</x:v>
      </x:c>
      <x:c r="I15" s="49" t="str">
        <x:v>送付先・送付版・期限</x:v>
      </x:c>
      <x:c r="J15" s="49" t="str">
        <x:v>proposal_sent</x:v>
      </x:c>
      <x:c r="K15" s="49" t="str">
        <x:v>WF-11</x:v>
      </x:c>
      <x:c r="L15" s="49" t="str">
        <x:v>送信メールID・添付hash</x:v>
      </x:c>
      <x:c r="M15" s="49" t="str">
        <x:v>送付検知・フォロー期限生成</x:v>
      </x:c>
      <x:c r="N15" s="49" t="str">
        <x:v>誤宛先・旧版送付</x:v>
      </x:c>
      <x:c r="O15" s="49" t="str">
        <x:v>要確認</x:v>
      </x:c>
    </x:row>
    <x:row r="16">
      <x:c r="A16" s="49" t="str">
        <x:v>WF-11</x:v>
      </x:c>
      <x:c r="B16" s="49" t="n">
        <x:v>11</x:v>
      </x:c>
      <x:c r="C16" s="49" t="str">
        <x:v>条件調整・契約締結</x:v>
      </x:c>
      <x:c r="D16" s="49" t="str">
        <x:v>顧客回答</x:v>
      </x:c>
      <x:c r="E16" s="49" t="str">
        <x:v>質問・修正・最終面談を経て合意・署名</x:v>
      </x:c>
      <x:c r="F16" s="49" t="str">
        <x:v>担当弁護士＋事務局</x:v>
      </x:c>
      <x:c r="G16" s="49" t="str">
        <x:v>Gmail, Calendar, Box, Salesforce</x:v>
      </x:c>
      <x:c r="H16" s="49" t="str">
        <x:v>修正要求・署名済契約</x:v>
      </x:c>
      <x:c r="I16" s="49" t="str">
        <x:v>成立/失注/保留</x:v>
      </x:c>
      <x:c r="J16" s="49" t="str">
        <x:v>engagement_signed</x:v>
      </x:c>
      <x:c r="K16" s="49" t="str">
        <x:v>WF-12</x:v>
      </x:c>
      <x:c r="L16" s="49" t="str">
        <x:v>署名版・受諾メール</x:v>
      </x:c>
      <x:c r="M16" s="49" t="str">
        <x:v>受諾/署名検知・差分比較</x:v>
      </x:c>
      <x:c r="N16" s="49" t="str">
        <x:v>口頭受任・署名前着手</x:v>
      </x:c>
      <x:c r="O16" s="49" t="str">
        <x:v>要確認</x:v>
      </x:c>
    </x:row>
    <x:row r="17">
      <x:c r="A17" s="49" t="str">
        <x:v>WF-12</x:v>
      </x:c>
      <x:c r="B17" s="49" t="n">
        <x:v>12</x:v>
      </x:c>
      <x:c r="C17" s="49" t="str">
        <x:v>案件開設・初期請求</x:v>
      </x:c>
      <x:c r="D17" s="49" t="str">
        <x:v>受任成立条件充足</x:v>
      </x:c>
      <x:c r="E17" s="49" t="str">
        <x:v>相談を受任案件へ変換し、担当・Box・請求を設定</x:v>
      </x:c>
      <x:c r="F17" s="49" t="str">
        <x:v>事務局</x:v>
      </x:c>
      <x:c r="G17" s="49" t="str">
        <x:v>Salesforce, Box, MF</x:v>
      </x:c>
      <x:c r="H17" s="49" t="str">
        <x:v>署名・担当・請求条件</x:v>
      </x:c>
      <x:c r="I17" s="49" t="str">
        <x:v>業務開始可否</x:v>
      </x:c>
      <x:c r="J17" s="49" t="str">
        <x:v>matter_opened</x:v>
      </x:c>
      <x:c r="K17" s="49" t="str">
        <x:v>WF-13</x:v>
      </x:c>
      <x:c r="L17" s="49" t="str">
        <x:v>SF変換・Box folder・invoice</x:v>
      </x:c>
      <x:c r="M17" s="49" t="str">
        <x:v>フォルダ/メタデータ/請求自動生成</x:v>
      </x:c>
      <x:c r="N17" s="49" t="str">
        <x:v>変換漏れ・ID不貫通</x:v>
      </x:c>
      <x:c r="O17" s="49" t="str">
        <x:v>要確認</x:v>
      </x:c>
    </x:row>
    <x:row r="18">
      <x:c r="A18" s="49" t="str">
        <x:v>WF-13</x:v>
      </x:c>
      <x:c r="B18" s="49" t="n">
        <x:v>13</x:v>
      </x:c>
      <x:c r="C18" s="49" t="str">
        <x:v>初期計画・役割分担</x:v>
      </x:c>
      <x:c r="D18" s="49" t="str">
        <x:v>案件開設</x:v>
      </x:c>
      <x:c r="E18" s="49" t="str">
        <x:v>目的・論点・マイルストーン・次行動・待ち先を設定</x:v>
      </x:c>
      <x:c r="F18" s="49" t="str">
        <x:v>担当弁護士＋事務局</x:v>
      </x:c>
      <x:c r="G18" s="49" t="str">
        <x:v>Salesforce, Box</x:v>
      </x:c>
      <x:c r="H18" s="49" t="str">
        <x:v>委任範囲・期限・関係者</x:v>
      </x:c>
      <x:c r="I18" s="49" t="str">
        <x:v>計画承認</x:v>
      </x:c>
      <x:c r="J18" s="49" t="str">
        <x:v>matter_plan</x:v>
      </x:c>
      <x:c r="K18" s="49" t="str">
        <x:v>WF-14</x:v>
      </x:c>
      <x:c r="L18" s="49" t="str">
        <x:v>計画書/Task/Deadline</x:v>
      </x:c>
      <x:c r="M18" s="49" t="str">
        <x:v>議事録から計画候補</x:v>
      </x:c>
      <x:c r="N18" s="49" t="str">
        <x:v>担当・期限不明</x:v>
      </x:c>
      <x:c r="O18" s="49" t="str">
        <x:v>要確認</x:v>
      </x:c>
    </x:row>
    <x:row r="19">
      <x:c r="A19" s="49" t="str">
        <x:v>WF-14</x:v>
      </x:c>
      <x:c r="B19" s="49" t="n">
        <x:v>14</x:v>
      </x:c>
      <x:c r="C19" s="49" t="str">
        <x:v>継続情報取込</x:v>
      </x:c>
      <x:c r="D19" s="49" t="str">
        <x:v>メール/電話/郵便/会議/資料発生</x:v>
      </x:c>
      <x:c r="E19" s="49" t="str">
        <x:v>全イベントを案件へ紐付け、タスク・期限・状態候補を生成</x:v>
      </x:c>
      <x:c r="F19" s="49" t="str">
        <x:v>全員</x:v>
      </x:c>
      <x:c r="G19" s="49" t="str">
        <x:v>Gmail, Dialpad, Notta, Box, Postal, Calendar</x:v>
      </x:c>
      <x:c r="H19" s="49" t="str">
        <x:v>raw events</x:v>
      </x:c>
      <x:c r="I19" s="49" t="str">
        <x:v>紐付け/除外/要確認</x:v>
      </x:c>
      <x:c r="J19" s="49" t="str">
        <x:v>derived_event</x:v>
      </x:c>
      <x:c r="K19" s="49" t="str">
        <x:v>WF-15</x:v>
      </x:c>
      <x:c r="L19" s="49" t="str">
        <x:v>source native ID・承認ログ</x:v>
      </x:c>
      <x:c r="M19" s="49" t="str">
        <x:v>ALO Connect/HITL</x:v>
      </x:c>
      <x:c r="N19" s="49" t="str">
        <x:v>誤紐付け・話題転換</x:v>
      </x:c>
      <x:c r="O19" s="49" t="str">
        <x:v>設計済・要検証</x:v>
      </x:c>
    </x:row>
    <x:row r="20">
      <x:c r="A20" s="49" t="str">
        <x:v>WF-15</x:v>
      </x:c>
      <x:c r="B20" s="49" t="n">
        <x:v>15</x:v>
      </x:c>
      <x:c r="C20" s="49" t="str">
        <x:v>調査・起案・作業</x:v>
      </x:c>
      <x:c r="D20" s="49" t="str">
        <x:v>計画又はイベントから作業発生</x:v>
      </x:c>
      <x:c r="E20" s="49" t="str">
        <x:v>作業セッションを実行し根拠・判断・成果物を記録</x:v>
      </x:c>
      <x:c r="F20" s="49" t="str">
        <x:v>弁護士/事務局</x:v>
      </x:c>
      <x:c r="G20" s="49" t="str">
        <x:v>Word, Box, ALO KB, Salesforce</x:v>
      </x:c>
      <x:c r="H20" s="49" t="str">
        <x:v>タスク・資料・法情報</x:v>
      </x:c>
      <x:c r="I20" s="49" t="str">
        <x:v>作業完了/レビューへ</x:v>
      </x:c>
      <x:c r="J20" s="49" t="str">
        <x:v>work_session</x:v>
      </x:c>
      <x:c r="K20" s="49" t="str">
        <x:v>WF-16</x:v>
      </x:c>
      <x:c r="L20" s="49" t="str">
        <x:v>版・引用・作業ログ</x:v>
      </x:c>
      <x:c r="M20" s="49" t="str">
        <x:v>作業セッション自動束ね</x:v>
      </x:c>
      <x:c r="N20" s="49" t="str">
        <x:v>判断過程が消える</x:v>
      </x:c>
      <x:c r="O20" s="49" t="str">
        <x:v>要確認</x:v>
      </x:c>
    </x:row>
    <x:row r="21">
      <x:c r="A21" s="49" t="str">
        <x:v>WF-16</x:v>
      </x:c>
      <x:c r="B21" s="49" t="n">
        <x:v>16</x:v>
      </x:c>
      <x:c r="C21" s="49" t="str">
        <x:v>内部レビュー・承認</x:v>
      </x:c>
      <x:c r="D21" s="49" t="str">
        <x:v>ドラフト完成</x:v>
      </x:c>
      <x:c r="E21" s="49" t="str">
        <x:v>品質・正確性・守秘・依頼範囲をレビュー</x:v>
      </x:c>
      <x:c r="F21" s="49" t="str">
        <x:v>別弁護士/責任者</x:v>
      </x:c>
      <x:c r="G21" s="49" t="str">
        <x:v>Box, Word, Salesforce</x:v>
      </x:c>
      <x:c r="H21" s="49" t="str">
        <x:v>ドラフト・根拠・チェックリスト</x:v>
      </x:c>
      <x:c r="I21" s="49" t="str">
        <x:v>approve/rework/hold</x:v>
      </x:c>
      <x:c r="J21" s="49" t="str">
        <x:v>review_decision</x:v>
      </x:c>
      <x:c r="K21" s="49" t="str">
        <x:v>WF-17</x:v>
      </x:c>
      <x:c r="L21" s="49" t="str">
        <x:v>レビューコメント・承認者</x:v>
      </x:c>
      <x:c r="M21" s="49" t="str">
        <x:v>差分・チェック候補</x:v>
      </x:c>
      <x:c r="N21" s="49" t="str">
        <x:v>無承認送信</x:v>
      </x:c>
      <x:c r="O21" s="49" t="str">
        <x:v>要確認</x:v>
      </x:c>
    </x:row>
    <x:row r="22">
      <x:c r="A22" s="49" t="str">
        <x:v>WF-17</x:v>
      </x:c>
      <x:c r="B22" s="49" t="n">
        <x:v>17</x:v>
      </x:c>
      <x:c r="C22" s="49" t="str">
        <x:v>納品・送付・提出</x:v>
      </x:c>
      <x:c r="D22" s="49" t="str">
        <x:v>外部送付承認</x:v>
      </x:c>
      <x:c r="E22" s="49" t="str">
        <x:v>顧客・相手方・裁判所等へ指定方法で出す</x:v>
      </x:c>
      <x:c r="F22" s="49" t="str">
        <x:v>弁護士/事務局</x:v>
      </x:c>
      <x:c r="G22" s="49" t="str">
        <x:v>Gmail, Box, MINTS, Teams, FAX, 郵送</x:v>
      </x:c>
      <x:c r="H22" s="49" t="str">
        <x:v>承認済み成果物</x:v>
      </x:c>
      <x:c r="I22" s="49" t="str">
        <x:v>送付/提出成功</x:v>
      </x:c>
      <x:c r="J22" s="49" t="str">
        <x:v>deliverable_sent</x:v>
      </x:c>
      <x:c r="K22" s="49" t="str">
        <x:v>WF-18</x:v>
      </x:c>
      <x:c r="L22" s="49" t="str">
        <x:v>送信ID・受付票・追跡番号</x:v>
      </x:c>
      <x:c r="M22" s="49" t="str">
        <x:v>送付証跡の自動取得</x:v>
      </x:c>
      <x:c r="N22" s="49" t="str">
        <x:v>送信と到達の混同</x:v>
      </x:c>
      <x:c r="O22" s="49" t="str">
        <x:v>要確認</x:v>
      </x:c>
    </x:row>
    <x:row r="23">
      <x:c r="A23" s="49" t="str">
        <x:v>WF-18</x:v>
      </x:c>
      <x:c r="B23" s="49" t="n">
        <x:v>18</x:v>
      </x:c>
      <x:c r="C23" s="49" t="str">
        <x:v>応答・進捗・反復</x:v>
      </x:c>
      <x:c r="D23" s="49" t="str">
        <x:v>外部応答又は期限到来</x:v>
      </x:c>
      <x:c r="E23" s="49" t="str">
        <x:v>受領確認、次行動、待ち先、状態を更新し反復</x:v>
      </x:c>
      <x:c r="F23" s="49" t="str">
        <x:v>担当者</x:v>
      </x:c>
      <x:c r="G23" s="49" t="str">
        <x:v>Salesforce, Gmail, Calendar</x:v>
      </x:c>
      <x:c r="H23" s="49" t="str">
        <x:v>応答・期日・決定</x:v>
      </x:c>
      <x:c r="I23" s="49" t="str">
        <x:v>次反復/解決へ</x:v>
      </x:c>
      <x:c r="J23" s="49" t="str">
        <x:v>matter_snapshot</x:v>
      </x:c>
      <x:c r="K23" s="49" t="str">
        <x:v>WF-14/WF-19</x:v>
      </x:c>
      <x:c r="L23" s="49" t="str">
        <x:v>状態履歴・Task</x:v>
      </x:c>
      <x:c r="M23" s="49" t="str">
        <x:v>observed_state候補生成</x:v>
      </x:c>
      <x:c r="N23" s="49" t="str">
        <x:v>放置・待ち先不明</x:v>
      </x:c>
      <x:c r="O23" s="49" t="str">
        <x:v>要確認</x:v>
      </x:c>
    </x:row>
    <x:row r="24">
      <x:c r="A24" s="49" t="str">
        <x:v>WF-19</x:v>
      </x:c>
      <x:c r="B24" s="49" t="n">
        <x:v>19</x:v>
      </x:c>
      <x:c r="C24" s="49" t="str">
        <x:v>解決・成果確定</x:v>
      </x:c>
      <x:c r="D24" s="49" t="str">
        <x:v>和解/判決/履行/助言完了等</x:v>
      </x:c>
      <x:c r="E24" s="49" t="str">
        <x:v>結果・経済的効果・残作業・期限を確定</x:v>
      </x:c>
      <x:c r="F24" s="49" t="str">
        <x:v>担当弁護士</x:v>
      </x:c>
      <x:c r="G24" s="49" t="str">
        <x:v>Salesforce, Box</x:v>
      </x:c>
      <x:c r="H24" s="49" t="str">
        <x:v>成果文書・決定・履行状況</x:v>
      </x:c>
      <x:c r="I24" s="49" t="str">
        <x:v>closing開始可否</x:v>
      </x:c>
      <x:c r="J24" s="49" t="str">
        <x:v>outcome_recorded</x:v>
      </x:c>
      <x:c r="K24" s="49" t="str">
        <x:v>WF-20</x:v>
      </x:c>
      <x:c r="L24" s="49" t="str">
        <x:v>和解書/判決/完了メモ</x:v>
      </x:c>
      <x:c r="M24" s="49" t="str">
        <x:v>成果類型・残タスク抽出</x:v>
      </x:c>
      <x:c r="N24" s="49" t="str">
        <x:v>結果と業務終了の混同</x:v>
      </x:c>
      <x:c r="O24" s="49" t="str">
        <x:v>要確認</x:v>
      </x:c>
    </x:row>
    <x:row r="25">
      <x:c r="A25" s="49" t="str">
        <x:v>WF-20</x:v>
      </x:c>
      <x:c r="B25" s="49" t="n">
        <x:v>20</x:v>
      </x:c>
      <x:c r="C25" s="49" t="str">
        <x:v>最終請求・預り金/実費精算</x:v>
      </x:c>
      <x:c r="D25" s="49" t="str">
        <x:v>closing GO</x:v>
      </x:c>
      <x:c r="E25" s="49" t="str">
        <x:v>報酬・実費・預り金・返金・未収を確定</x:v>
      </x:c>
      <x:c r="F25" s="49" t="str">
        <x:v>弁護士＋事務局長</x:v>
      </x:c>
      <x:c r="G25" s="49" t="str">
        <x:v>Salesforce, MF, Box</x:v>
      </x:c>
      <x:c r="H25" s="49" t="str">
        <x:v>契約・成果・入出金</x:v>
      </x:c>
      <x:c r="I25" s="49" t="str">
        <x:v>financially_reconciled</x:v>
      </x:c>
      <x:c r="J25" s="49" t="str">
        <x:v>WF-21</x:v>
      </x:c>
      <x:c r="K25" s="49" t="str">
        <x:v>請求書・台帳・入金</x:v>
      </x:c>
      <x:c r="L25" s="49" t="str">
        <x:v>計算候補・照合・未収監視</x:v>
      </x:c>
      <x:c r="M25" s="49" t="str">
        <x:v>顧客/支払者の違い</x:v>
      </x:c>
      <x:c r="N25" s="49" t="str">
        <x:v>要確認</x:v>
      </x:c>
      <x:c r="O25" s="49"/>
    </x:row>
    <x:row r="26">
      <x:c r="A26" s="49" t="str">
        <x:v>WF-21</x:v>
      </x:c>
      <x:c r="B26" s="49" t="n">
        <x:v>21</x:v>
      </x:c>
      <x:c r="C26" s="49" t="str">
        <x:v>原本返却・終了報告</x:v>
      </x:c>
      <x:c r="D26" s="49" t="str">
        <x:v>財務と残作業確認</x:v>
      </x:c>
      <x:c r="E26" s="49" t="str">
        <x:v>原本・成果物・請求/精算・今後の注意をまとめて返却/報告</x:v>
      </x:c>
      <x:c r="F26" s="49" t="str">
        <x:v>弁護士＋事務局</x:v>
      </x:c>
      <x:c r="G26" s="49" t="str">
        <x:v>Box, Gmail, 郵送, Salesforce</x:v>
      </x:c>
      <x:c r="H26" s="49" t="str">
        <x:v>返却物・終了報告・送付一覧</x:v>
      </x:c>
      <x:c r="I26" s="49" t="str">
        <x:v>client_acknowledged</x:v>
      </x:c>
      <x:c r="J26" s="49" t="str">
        <x:v>WF-22</x:v>
      </x:c>
      <x:c r="K26" s="49" t="str">
        <x:v>終了報告・受領証・追跡</x:v>
      </x:c>
      <x:c r="L26" s="49" t="str">
        <x:v>返却物一覧・送付パック生成</x:v>
      </x:c>
      <x:c r="M26" s="49" t="str">
        <x:v>返却漏れ・期限注意漏れ</x:v>
      </x:c>
      <x:c r="N26" s="49" t="str">
        <x:v>要確認</x:v>
      </x:c>
      <x:c r="O26" s="49"/>
    </x:row>
    <x:row r="27">
      <x:c r="A27" s="49" t="str">
        <x:v>WF-22</x:v>
      </x:c>
      <x:c r="B27" s="49" t="n">
        <x:v>22</x:v>
      </x:c>
      <x:c r="C27" s="49" t="str">
        <x:v>終結・保存・知識化</x:v>
      </x:c>
      <x:c r="D27" s="49" t="str">
        <x:v>全closing gate通過</x:v>
      </x:c>
      <x:c r="E27" s="49" t="str">
        <x:v>SF終結、Box移動、保持、匿名化した知識・テンプレートを抽出</x:v>
      </x:c>
      <x:c r="F27" s="49" t="str">
        <x:v>担当弁護士＋事務局</x:v>
      </x:c>
      <x:c r="G27" s="49" t="str">
        <x:v>Salesforce, Box, ALO KB</x:v>
      </x:c>
      <x:c r="H27" s="49" t="str">
        <x:v>完了証跡・成果・学び</x:v>
      </x:c>
      <x:c r="I27" s="49" t="str">
        <x:v>close/archive/promote</x:v>
      </x:c>
      <x:c r="J27" s="49" t="str">
        <x:v>matter_closed</x:v>
      </x:c>
      <x:c r="K27" s="49" t="str">
        <x:v>—</x:v>
      </x:c>
      <x:c r="L27" s="49" t="str">
        <x:v>CloseDate・フォルダ状態・knowledge note</x:v>
      </x:c>
      <x:c r="M27" s="49" t="str">
        <x:v>close gate/再利用候補</x:v>
      </x:c>
      <x:c r="N27" s="49" t="str">
        <x:v>早すぎるクローズ・個人情報混入</x:v>
      </x:c>
      <x:c r="O27" s="49" t="str">
        <x:v>要確認</x:v>
      </x:c>
    </x:row>
  </x:sheetData>
  <x:mergeCells>
    <x:mergeCell ref="A1:O1"/>
    <x:mergeCell ref="A2:O2"/>
  </x:mergeCells>
  <x:dataValidations count="1">
    <x:dataValidation type="list" sqref="O5:O104">
      <x:formula1>"要確認,確認済,修正要,対象外"</x:formula1>
    </x:dataValidation>
  </x:dataValidations>
  <x:pageMargins left="0.7" right="0.7" top="0.75" bottom="0.75" header="0.3" footer="0.3"/>
  <x:tableParts count="1">
    <x:tablePart xmlns:r="http://schemas.openxmlformats.org/officeDocument/2006/relationships" r:id="Rf8fb4e29c9d94062"/>
  </x:tableParts>
</x:worksheet>
</file>

<file path=xl/worksheets/sheet3.xml><?xml version="1.0" encoding="utf-8"?>
<x:worksheet xmlns:x="http://schemas.openxmlformats.org/spreadsheetml/2006/main">
  <x:sheetFormatPr defaultRowHeight="15"/>
  <x:cols>
    <x:col min="1" max="1" width="10" hidden="0" customWidth="1"/>
    <x:col min="2" max="2" width="25" hidden="0" customWidth="1"/>
    <x:col min="3" max="3" width="18" hidden="0" customWidth="1"/>
    <x:col min="4" max="4" width="13" hidden="0" customWidth="1"/>
    <x:col min="5" max="5" width="55" hidden="0" customWidth="1"/>
    <x:col min="6" max="6" width="34" hidden="0" customWidth="1"/>
    <x:col min="7" max="7" width="18" hidden="0" customWidth="1"/>
    <x:col min="8" max="8" width="36" hidden="0" customWidth="1"/>
    <x:col min="9" max="9" width="34" hidden="0" customWidth="1"/>
    <x:col min="10" max="10" width="20" hidden="0" customWidth="1"/>
    <x:col min="11" max="11" width="9" hidden="0" customWidth="1"/>
    <x:col min="12" max="12" width="12" hidden="0" customWidth="1"/>
    <x:col min="13" max="13" width="12" hidden="0" customWidth="1"/>
    <x:col min="14" max="14" width="42" hidden="0" customWidth="1"/>
    <x:col min="15" max="15" width="32" hidden="0" customWidth="1"/>
    <x:col min="16" max="16" width="34" hidden="0" customWidth="1"/>
  </x:cols>
  <x:sheetData>
    <x:row r="1" ht="30" customHeight="1">
      <x:c r="A1" s="5" t="str">
        <x:v>業務フロー・グリル質問集（245問）</x:v>
      </x:c>
      <x:c r="B1" s="5"/>
      <x:c r="C1" s="5"/>
      <x:c r="D1" s="5"/>
      <x:c r="E1" s="5"/>
      <x:c r="F1" s="5"/>
      <x:c r="G1" s="5"/>
      <x:c r="H1" s="5"/>
      <x:c r="I1" s="5"/>
      <x:c r="J1" s="5"/>
      <x:c r="K1" s="5"/>
      <x:c r="L1" s="5"/>
      <x:c r="M1" s="5"/>
      <x:c r="N1" s="5"/>
      <x:c r="O1" s="5"/>
      <x:c r="P1" s="5"/>
    </x:row>
    <x:row r="2" ht="32" customHeight="1">
      <x:c r="A2" s="13" t="str">
        <x:v>浅井先生だけでなく、弁護士・事務局・外部SEへの聴取と実物確認に使う。P0から回答し、回答より先に観測可能な事項は実査で埋める。</x:v>
      </x:c>
      <x:c r="B2" s="13"/>
      <x:c r="C2" s="13"/>
      <x:c r="D2" s="13"/>
      <x:c r="E2" s="13"/>
      <x:c r="F2" s="13"/>
      <x:c r="G2" s="13"/>
      <x:c r="H2" s="13"/>
      <x:c r="I2" s="13"/>
      <x:c r="J2" s="13"/>
      <x:c r="K2" s="13"/>
      <x:c r="L2" s="13"/>
      <x:c r="M2" s="13"/>
      <x:c r="N2" s="13"/>
      <x:c r="O2" s="13"/>
      <x:c r="P2" s="13"/>
    </x:row>
    <x:row r="4" ht="30" customHeight="1">
      <x:c r="A4" s="42" t="str">
        <x:v>質問ID</x:v>
      </x:c>
      <x:c r="B4" s="42" t="str">
        <x:v>モジュール</x:v>
      </x:c>
      <x:c r="C4" s="42" t="str">
        <x:v>対象工程</x:v>
      </x:c>
      <x:c r="D4" s="42" t="str">
        <x:v>質問種別</x:v>
      </x:c>
      <x:c r="E4" s="42" t="str">
        <x:v>聴取質問</x:v>
      </x:c>
      <x:c r="F4" s="42" t="str">
        <x:v>確認する理由</x:v>
      </x:c>
      <x:c r="G4" s="42" t="str">
        <x:v>回答形式</x:v>
      </x:c>
      <x:c r="H4" s="42" t="str">
        <x:v>既存証拠/仮説</x:v>
      </x:c>
      <x:c r="I4" s="42" t="str">
        <x:v>確認先/実物</x:v>
      </x:c>
      <x:c r="J4" s="42" t="str">
        <x:v>回答者候補</x:v>
      </x:c>
      <x:c r="K4" s="42" t="str">
        <x:v>優先度</x:v>
      </x:c>
      <x:c r="L4" s="42" t="str">
        <x:v>自動観測性</x:v>
      </x:c>
      <x:c r="M4" s="42" t="str">
        <x:v>回答状態</x:v>
      </x:c>
      <x:c r="N4" s="42" t="str">
        <x:v>回答</x:v>
      </x:c>
      <x:c r="O4" s="42" t="str">
        <x:v>追加調査/宿題</x:v>
      </x:c>
      <x:c r="P4" s="42" t="str">
        <x:v>設計への反映</x:v>
      </x:c>
    </x:row>
    <x:row r="5">
      <x:c r="A5" s="49" t="str">
        <x:v>Q-001</x:v>
      </x:c>
      <x:c r="B5" s="49" t="str">
        <x:v>00_設計原則・統治</x:v>
      </x:c>
      <x:c r="C5" s="49" t="str">
        <x:v>全体</x:v>
      </x:c>
      <x:c r="D5" s="49" t="str">
        <x:v>定義/ルール</x:v>
      </x:c>
      <x:c r="E5" s="49" t="str">
        <x:v>機械可読化の第1目的は、漏れ防止、処理速度、品質、収益把握、教育、AI学習のうち何を最優先にしますか。</x:v>
      </x:c>
      <x:c r="F5" s="49" t="str">
        <x:v>正本、責任、監査境界を先に固定し、局所自動化の矛盾を防ぐため</x:v>
      </x:c>
      <x:c r="G5" s="49" t="str">
        <x:v>Yes/No＋条件・例外</x:v>
      </x:c>
      <x:c r="H5" s="49" t="str">
        <x:v>Box=canonical、SF=control tower、raw/derived分離の既存方針</x:v>
      </x:c>
      <x:c r="I5" s="49" t="str">
        <x:v>代表・事務局長、設計DD、運用会議</x:v>
      </x:c>
      <x:c r="J5" s="49" t="str">
        <x:v>浅井先生＋中森事務局長</x:v>
      </x:c>
      <x:c r="K5" s="49" t="str">
        <x:v>P1</x:v>
      </x:c>
      <x:c r="L5" s="49" t="str">
        <x:v>聴取必須</x:v>
      </x:c>
      <x:c r="M5" s="49" t="str">
        <x:v>未回答</x:v>
      </x:c>
      <x:c r="N5" s="49" t="str"/>
      <x:c r="O5" s="49" t="str"/>
      <x:c r="P5" s="49" t="str"/>
    </x:row>
    <x:row r="6">
      <x:c r="A6" s="49" t="str">
        <x:v>Q-002</x:v>
      </x:c>
      <x:c r="B6" s="49" t="str">
        <x:v>00_設計原則・統治</x:v>
      </x:c>
      <x:c r="C6" s="49" t="str">
        <x:v>全体</x:v>
      </x:c>
      <x:c r="D6" s="49" t="str">
        <x:v>実態/証跡</x:v>
      </x:c>
      <x:c r="E6" s="49" t="str">
        <x:v>最初の成功指標を3つに絞ると何ですか（例：未設定の次行動率、相談から見積送付までの日数、未紐付けイベント率）。</x:v>
      </x:c>
      <x:c r="F6" s="49" t="str">
        <x:v>正本、責任、監査境界を先に固定し、局所自動化の矛盾を防ぐため</x:v>
      </x:c>
      <x:c r="G6" s="49" t="str">
        <x:v>自由記述</x:v>
      </x:c>
      <x:c r="H6" s="49" t="str">
        <x:v>Box=canonical、SF=control tower、raw/derived分離の既存方針</x:v>
      </x:c>
      <x:c r="I6" s="49" t="str">
        <x:v>代表・事務局長、設計DD、運用会議</x:v>
      </x:c>
      <x:c r="J6" s="49" t="str">
        <x:v>浅井先生＋中森事務局長</x:v>
      </x:c>
      <x:c r="K6" s="49" t="str">
        <x:v>P1</x:v>
      </x:c>
      <x:c r="L6" s="49" t="str">
        <x:v>一部可</x:v>
      </x:c>
      <x:c r="M6" s="49" t="str">
        <x:v>未回答</x:v>
      </x:c>
      <x:c r="N6" s="49" t="str"/>
      <x:c r="O6" s="49" t="str"/>
      <x:c r="P6" s="49" t="str"/>
    </x:row>
    <x:row r="7">
      <x:c r="A7" s="49" t="str">
        <x:v>Q-003</x:v>
      </x:c>
      <x:c r="B7" s="49" t="str">
        <x:v>00_設計原則・統治</x:v>
      </x:c>
      <x:c r="C7" s="49" t="str">
        <x:v>全体</x:v>
      </x:c>
      <x:c r="D7" s="49" t="str">
        <x:v>実態/証跡</x:v>
      </x:c>
      <x:c r="E7" s="49" t="str">
        <x:v>業務フローの正本はSalesforce、Box、各SaaS、別DBのどれとしますか。対象ごとに分けますか。</x:v>
      </x:c>
      <x:c r="F7" s="49" t="str">
        <x:v>正本、責任、監査境界を先に固定し、局所自動化の矛盾を防ぐため</x:v>
      </x:c>
      <x:c r="G7" s="49" t="str">
        <x:v>Yes/No＋条件・例外</x:v>
      </x:c>
      <x:c r="H7" s="49" t="str">
        <x:v>Box=canonical、SF=control tower、raw/derived分離の既存方針</x:v>
      </x:c>
      <x:c r="I7" s="49" t="str">
        <x:v>代表・事務局長、設計DD、運用会議</x:v>
      </x:c>
      <x:c r="J7" s="49" t="str">
        <x:v>浅井先生＋中森事務局長</x:v>
      </x:c>
      <x:c r="K7" s="49" t="str">
        <x:v>P0</x:v>
      </x:c>
      <x:c r="L7" s="49" t="str">
        <x:v>一部可</x:v>
      </x:c>
      <x:c r="M7" s="49" t="str">
        <x:v>未回答</x:v>
      </x:c>
      <x:c r="N7" s="49" t="str"/>
      <x:c r="O7" s="49" t="str"/>
      <x:c r="P7" s="49" t="str"/>
    </x:row>
    <x:row r="8">
      <x:c r="A8" s="49" t="str">
        <x:v>Q-004</x:v>
      </x:c>
      <x:c r="B8" s="49" t="str">
        <x:v>00_設計原則・統治</x:v>
      </x:c>
      <x:c r="C8" s="49" t="str">
        <x:v>全体</x:v>
      </x:c>
      <x:c r="D8" s="49" t="str">
        <x:v>定義/ルール</x:v>
      </x:c>
      <x:c r="E8" s="49" t="str">
        <x:v>Salesforceの申告状態とメール等から推定した観測状態が食い違う場合、誰がどの基準で確定しますか。</x:v>
      </x:c>
      <x:c r="F8" s="49" t="str">
        <x:v>正本、責任、監査境界を先に固定し、局所自動化の矛盾を防ぐため</x:v>
      </x:c>
      <x:c r="G8" s="49" t="str">
        <x:v>役割選択＋責任者</x:v>
      </x:c>
      <x:c r="H8" s="49" t="str">
        <x:v>Box=canonical、SF=control tower、raw/derived分離の既存方針</x:v>
      </x:c>
      <x:c r="I8" s="49" t="str">
        <x:v>代表・事務局長、設計DD、運用会議</x:v>
      </x:c>
      <x:c r="J8" s="49" t="str">
        <x:v>浅井先生＋中森事務局長</x:v>
      </x:c>
      <x:c r="K8" s="49" t="str">
        <x:v>P1</x:v>
      </x:c>
      <x:c r="L8" s="49" t="str">
        <x:v>聴取必須</x:v>
      </x:c>
      <x:c r="M8" s="49" t="str">
        <x:v>未回答</x:v>
      </x:c>
      <x:c r="N8" s="49" t="str"/>
      <x:c r="O8" s="49" t="str"/>
      <x:c r="P8" s="49" t="str"/>
    </x:row>
    <x:row r="9">
      <x:c r="A9" s="49" t="str">
        <x:v>Q-005</x:v>
      </x:c>
      <x:c r="B9" s="49" t="str">
        <x:v>00_設計原則・統治</x:v>
      </x:c>
      <x:c r="C9" s="49" t="str">
        <x:v>全体</x:v>
      </x:c>
      <x:c r="D9" s="49" t="str">
        <x:v>実態/証跡</x:v>
      </x:c>
      <x:c r="E9" s="49" t="str">
        <x:v>AIが自動確定してよい事項、候補提示までに留める事項、人間のみが判断する事項をどう分けますか。</x:v>
      </x:c>
      <x:c r="F9" s="49" t="str">
        <x:v>正本、責任、監査境界を先に固定し、局所自動化の矛盾を防ぐため</x:v>
      </x:c>
      <x:c r="G9" s="49" t="str">
        <x:v>Yes/No＋条件・例外</x:v>
      </x:c>
      <x:c r="H9" s="49" t="str">
        <x:v>Box=canonical、SF=control tower、raw/derived分離の既存方針</x:v>
      </x:c>
      <x:c r="I9" s="49" t="str">
        <x:v>代表・事務局長、設計DD、運用会議</x:v>
      </x:c>
      <x:c r="J9" s="49" t="str">
        <x:v>浅井先生＋中森事務局長</x:v>
      </x:c>
      <x:c r="K9" s="49" t="str">
        <x:v>P0</x:v>
      </x:c>
      <x:c r="L9" s="49" t="str">
        <x:v>一部可</x:v>
      </x:c>
      <x:c r="M9" s="49" t="str">
        <x:v>未回答</x:v>
      </x:c>
      <x:c r="N9" s="49" t="str"/>
      <x:c r="O9" s="49" t="str"/>
      <x:c r="P9" s="49" t="str"/>
    </x:row>
    <x:row r="10">
      <x:c r="A10" s="49" t="str">
        <x:v>Q-006</x:v>
      </x:c>
      <x:c r="B10" s="49" t="str">
        <x:v>00_設計原則・統治</x:v>
      </x:c>
      <x:c r="C10" s="49" t="str">
        <x:v>全体</x:v>
      </x:c>
      <x:c r="D10" s="49" t="str">
        <x:v>実態/証跡</x:v>
      </x:c>
      <x:c r="E10" s="49" t="str">
        <x:v>コンフリ通過、受任開始、最終成果物送付、終結、請求確定を必須の人間承認ゲートとしますか。</x:v>
      </x:c>
      <x:c r="F10" s="49" t="str">
        <x:v>正本、責任、監査境界を先に固定し、局所自動化の矛盾を防ぐため</x:v>
      </x:c>
      <x:c r="G10" s="49" t="str">
        <x:v>Yes/No＋条件・例外</x:v>
      </x:c>
      <x:c r="H10" s="49" t="str">
        <x:v>Box=canonical、SF=control tower、raw/derived分離の既存方針</x:v>
      </x:c>
      <x:c r="I10" s="49" t="str">
        <x:v>代表・事務局長、設計DD、運用会議</x:v>
      </x:c>
      <x:c r="J10" s="49" t="str">
        <x:v>浅井先生＋中森事務局長</x:v>
      </x:c>
      <x:c r="K10" s="49" t="str">
        <x:v>P0</x:v>
      </x:c>
      <x:c r="L10" s="49" t="str">
        <x:v>一部可</x:v>
      </x:c>
      <x:c r="M10" s="49" t="str">
        <x:v>未回答</x:v>
      </x:c>
      <x:c r="N10" s="49" t="str"/>
      <x:c r="O10" s="49" t="str"/>
      <x:c r="P10" s="49" t="str"/>
    </x:row>
    <x:row r="11">
      <x:c r="A11" s="49" t="str">
        <x:v>Q-007</x:v>
      </x:c>
      <x:c r="B11" s="49" t="str">
        <x:v>00_設計原則・統治</x:v>
      </x:c>
      <x:c r="C11" s="49" t="str">
        <x:v>全体</x:v>
      </x:c>
      <x:c r="D11" s="49" t="str">
        <x:v>定義/ルール</x:v>
      </x:c>
      <x:c r="E11" s="49" t="str">
        <x:v>rawデータ、正規化データ、AI派生データの保持期間と再生成方針はどうしますか。</x:v>
      </x:c>
      <x:c r="F11" s="49" t="str">
        <x:v>正本、責任、監査境界を先に固定し、局所自動化の矛盾を防ぐため</x:v>
      </x:c>
      <x:c r="G11" s="49" t="str">
        <x:v>Yes/No＋条件・例外</x:v>
      </x:c>
      <x:c r="H11" s="49" t="str">
        <x:v>Box=canonical、SF=control tower、raw/derived分離の既存方針</x:v>
      </x:c>
      <x:c r="I11" s="49" t="str">
        <x:v>代表・事務局長、設計DD、運用会議</x:v>
      </x:c>
      <x:c r="J11" s="49" t="str">
        <x:v>浅井先生＋中森事務局長</x:v>
      </x:c>
      <x:c r="K11" s="49" t="str">
        <x:v>P1</x:v>
      </x:c>
      <x:c r="L11" s="49" t="str">
        <x:v>聴取必須</x:v>
      </x:c>
      <x:c r="M11" s="49" t="str">
        <x:v>未回答</x:v>
      </x:c>
      <x:c r="N11" s="49" t="str"/>
      <x:c r="O11" s="49" t="str"/>
      <x:c r="P11" s="49" t="str"/>
    </x:row>
    <x:row r="12">
      <x:c r="A12" s="49" t="str">
        <x:v>Q-008</x:v>
      </x:c>
      <x:c r="B12" s="49" t="str">
        <x:v>00_設計原則・統治</x:v>
      </x:c>
      <x:c r="C12" s="49" t="str">
        <x:v>全体</x:v>
      </x:c>
      <x:c r="D12" s="49" t="str">
        <x:v>定義/ルール</x:v>
      </x:c>
      <x:c r="E12" s="49" t="str">
        <x:v>業務フローの標準版と案件別例外を、誰がどのタイミングで更新・承認しますか。</x:v>
      </x:c>
      <x:c r="F12" s="49" t="str">
        <x:v>正本、責任、監査境界を先に固定し、局所自動化の矛盾を防ぐため</x:v>
      </x:c>
      <x:c r="G12" s="49" t="str">
        <x:v>役割選択＋責任者</x:v>
      </x:c>
      <x:c r="H12" s="49" t="str">
        <x:v>Box=canonical、SF=control tower、raw/derived分離の既存方針</x:v>
      </x:c>
      <x:c r="I12" s="49" t="str">
        <x:v>代表・事務局長、設計DD、運用会議</x:v>
      </x:c>
      <x:c r="J12" s="49" t="str">
        <x:v>浅井先生＋中森事務局長</x:v>
      </x:c>
      <x:c r="K12" s="49" t="str">
        <x:v>P1</x:v>
      </x:c>
      <x:c r="L12" s="49" t="str">
        <x:v>聴取必須</x:v>
      </x:c>
      <x:c r="M12" s="49" t="str">
        <x:v>未回答</x:v>
      </x:c>
      <x:c r="N12" s="49" t="str"/>
      <x:c r="O12" s="49" t="str"/>
      <x:c r="P12" s="49" t="str"/>
    </x:row>
    <x:row r="13">
      <x:c r="A13" s="49" t="str">
        <x:v>Q-009</x:v>
      </x:c>
      <x:c r="B13" s="49" t="str">
        <x:v>00_設計原則・統治</x:v>
      </x:c>
      <x:c r="C13" s="49" t="str">
        <x:v>全体</x:v>
      </x:c>
      <x:c r="D13" s="49" t="str">
        <x:v>定義/ルール</x:v>
      </x:c>
      <x:c r="E13" s="49" t="str">
        <x:v>小さな逸脱を許容するのか、逸脱理由を必ず記録するのか、基準をどうしますか。</x:v>
      </x:c>
      <x:c r="F13" s="49" t="str">
        <x:v>正本、責任、監査境界を先に固定し、局所自動化の矛盾を防ぐため</x:v>
      </x:c>
      <x:c r="G13" s="49" t="str">
        <x:v>Yes/No＋条件・例外</x:v>
      </x:c>
      <x:c r="H13" s="49" t="str">
        <x:v>Box=canonical、SF=control tower、raw/derived分離の既存方針</x:v>
      </x:c>
      <x:c r="I13" s="49" t="str">
        <x:v>代表・事務局長、設計DD、運用会議</x:v>
      </x:c>
      <x:c r="J13" s="49" t="str">
        <x:v>浅井先生＋中森事務局長</x:v>
      </x:c>
      <x:c r="K13" s="49" t="str">
        <x:v>P2</x:v>
      </x:c>
      <x:c r="L13" s="49" t="str">
        <x:v>聴取必須</x:v>
      </x:c>
      <x:c r="M13" s="49" t="str">
        <x:v>未回答</x:v>
      </x:c>
      <x:c r="N13" s="49" t="str"/>
      <x:c r="O13" s="49" t="str"/>
      <x:c r="P13" s="49" t="str"/>
    </x:row>
    <x:row r="14">
      <x:c r="A14" s="49" t="str">
        <x:v>Q-010</x:v>
      </x:c>
      <x:c r="B14" s="49" t="str">
        <x:v>00_設計原則・統治</x:v>
      </x:c>
      <x:c r="C14" s="49" t="str">
        <x:v>全体</x:v>
      </x:c>
      <x:c r="D14" s="49" t="str">
        <x:v>実態/証跡</x:v>
      </x:c>
      <x:c r="E14" s="49" t="str">
        <x:v>プロセスの版が変わったとき、過去案件は当時版で評価しますか、現行版で再評価しますか。</x:v>
      </x:c>
      <x:c r="F14" s="49" t="str">
        <x:v>正本、責任、監査境界を先に固定し、局所自動化の矛盾を防ぐため</x:v>
      </x:c>
      <x:c r="G14" s="49" t="str">
        <x:v>Yes/No＋条件・例外</x:v>
      </x:c>
      <x:c r="H14" s="49" t="str">
        <x:v>Box=canonical、SF=control tower、raw/derived分離の既存方針</x:v>
      </x:c>
      <x:c r="I14" s="49" t="str">
        <x:v>代表・事務局長、設計DD、運用会議</x:v>
      </x:c>
      <x:c r="J14" s="49" t="str">
        <x:v>浅井先生＋中森事務局長</x:v>
      </x:c>
      <x:c r="K14" s="49" t="str">
        <x:v>P2</x:v>
      </x:c>
      <x:c r="L14" s="49" t="str">
        <x:v>一部可</x:v>
      </x:c>
      <x:c r="M14" s="49" t="str">
        <x:v>未回答</x:v>
      </x:c>
      <x:c r="N14" s="49" t="str"/>
      <x:c r="O14" s="49" t="str"/>
      <x:c r="P14" s="49" t="str"/>
    </x:row>
    <x:row r="15">
      <x:c r="A15" s="49" t="str">
        <x:v>Q-011</x:v>
      </x:c>
      <x:c r="B15" s="49" t="str">
        <x:v>00_設計原則・統治</x:v>
      </x:c>
      <x:c r="C15" s="49" t="str">
        <x:v>全体</x:v>
      </x:c>
      <x:c r="D15" s="49" t="str">
        <x:v>実態/証跡</x:v>
      </x:c>
      <x:c r="E15" s="49" t="str">
        <x:v>監査ログを閲覧できる者と、訂正・無効化できる者を誰にしますか。</x:v>
      </x:c>
      <x:c r="F15" s="49" t="str">
        <x:v>正本、責任、監査境界を先に固定し、局所自動化の矛盾を防ぐため</x:v>
      </x:c>
      <x:c r="G15" s="49" t="str">
        <x:v>役割選択＋責任者</x:v>
      </x:c>
      <x:c r="H15" s="49" t="str">
        <x:v>Box=canonical、SF=control tower、raw/derived分離の既存方針</x:v>
      </x:c>
      <x:c r="I15" s="49" t="str">
        <x:v>代表・事務局長、設計DD、運用会議</x:v>
      </x:c>
      <x:c r="J15" s="49" t="str">
        <x:v>浅井先生＋中森事務局長</x:v>
      </x:c>
      <x:c r="K15" s="49" t="str">
        <x:v>P2</x:v>
      </x:c>
      <x:c r="L15" s="49" t="str">
        <x:v>一部可</x:v>
      </x:c>
      <x:c r="M15" s="49" t="str">
        <x:v>未回答</x:v>
      </x:c>
      <x:c r="N15" s="49" t="str"/>
      <x:c r="O15" s="49" t="str"/>
      <x:c r="P15" s="49" t="str"/>
    </x:row>
    <x:row r="16">
      <x:c r="A16" s="49" t="str">
        <x:v>Q-012</x:v>
      </x:c>
      <x:c r="B16" s="49" t="str">
        <x:v>00_設計原則・統治</x:v>
      </x:c>
      <x:c r="C16" s="49" t="str">
        <x:v>全体</x:v>
      </x:c>
      <x:c r="D16" s="49" t="str">
        <x:v>実態/証跡</x:v>
      </x:c>
      <x:c r="E16" s="49" t="str">
        <x:v>追加の手入力を求める前に、自然発生データから取れないかを必ず検証するルールにしますか。</x:v>
      </x:c>
      <x:c r="F16" s="49" t="str">
        <x:v>正本、責任、監査境界を先に固定し、局所自動化の矛盾を防ぐため</x:v>
      </x:c>
      <x:c r="G16" s="49" t="str">
        <x:v>Yes/No＋条件・例外</x:v>
      </x:c>
      <x:c r="H16" s="49" t="str">
        <x:v>Box=canonical、SF=control tower、raw/derived分離の既存方針</x:v>
      </x:c>
      <x:c r="I16" s="49" t="str">
        <x:v>代表・事務局長、設計DD、運用会議</x:v>
      </x:c>
      <x:c r="J16" s="49" t="str">
        <x:v>浅井先生＋中森事務局長</x:v>
      </x:c>
      <x:c r="K16" s="49" t="str">
        <x:v>P2</x:v>
      </x:c>
      <x:c r="L16" s="49" t="str">
        <x:v>一部可</x:v>
      </x:c>
      <x:c r="M16" s="49" t="str">
        <x:v>未回答</x:v>
      </x:c>
      <x:c r="N16" s="49" t="str"/>
      <x:c r="O16" s="49" t="str"/>
      <x:c r="P16" s="49" t="str"/>
    </x:row>
    <x:row r="17">
      <x:c r="A17" s="49" t="str">
        <x:v>Q-013</x:v>
      </x:c>
      <x:c r="B17" s="49" t="str">
        <x:v>00_設計原則・統治</x:v>
      </x:c>
      <x:c r="C17" s="49" t="str">
        <x:v>全体</x:v>
      </x:c>
      <x:c r="D17" s="49" t="str">
        <x:v>実態/証跡</x:v>
      </x:c>
      <x:c r="E17" s="49" t="str">
        <x:v>個人情報・守秘情報をAI処理へ出す範囲と、匿名化・ZDR・アクセス制御の最低条件は何ですか。</x:v>
      </x:c>
      <x:c r="F17" s="49" t="str">
        <x:v>正本、責任、監査境界を先に固定し、局所自動化の矛盾を防ぐため</x:v>
      </x:c>
      <x:c r="G17" s="49" t="str">
        <x:v>Yes/No＋条件・例外</x:v>
      </x:c>
      <x:c r="H17" s="49" t="str">
        <x:v>Box=canonical、SF=control tower、raw/derived分離の既存方針</x:v>
      </x:c>
      <x:c r="I17" s="49" t="str">
        <x:v>代表・事務局長、設計DD、運用会議</x:v>
      </x:c>
      <x:c r="J17" s="49" t="str">
        <x:v>浅井先生＋中森事務局長</x:v>
      </x:c>
      <x:c r="K17" s="49" t="str">
        <x:v>P2</x:v>
      </x:c>
      <x:c r="L17" s="49" t="str">
        <x:v>一部可</x:v>
      </x:c>
      <x:c r="M17" s="49" t="str">
        <x:v>未回答</x:v>
      </x:c>
      <x:c r="N17" s="49" t="str"/>
      <x:c r="O17" s="49" t="str"/>
      <x:c r="P17" s="49" t="str"/>
    </x:row>
    <x:row r="18">
      <x:c r="A18" s="49" t="str">
        <x:v>Q-014</x:v>
      </x:c>
      <x:c r="B18" s="49" t="str">
        <x:v>00_設計原則・統治</x:v>
      </x:c>
      <x:c r="C18" s="49" t="str">
        <x:v>全体</x:v>
      </x:c>
      <x:c r="D18" s="49" t="str">
        <x:v>定義/ルール</x:v>
      </x:c>
      <x:c r="E18" s="49" t="str">
        <x:v>誤推定の許容度は、業務種類ごとにどこまでですか（紐付け、分類、期限、請求、法的判断）。</x:v>
      </x:c>
      <x:c r="F18" s="49" t="str">
        <x:v>正本、責任、監査境界を先に固定し、局所自動化の矛盾を防ぐため</x:v>
      </x:c>
      <x:c r="G18" s="49" t="str">
        <x:v>自由記述</x:v>
      </x:c>
      <x:c r="H18" s="49" t="str">
        <x:v>Box=canonical、SF=control tower、raw/derived分離の既存方針</x:v>
      </x:c>
      <x:c r="I18" s="49" t="str">
        <x:v>代表・事務局長、設計DD、運用会議</x:v>
      </x:c>
      <x:c r="J18" s="49" t="str">
        <x:v>浅井先生＋中森事務局長</x:v>
      </x:c>
      <x:c r="K18" s="49" t="str">
        <x:v>P0</x:v>
      </x:c>
      <x:c r="L18" s="49" t="str">
        <x:v>聴取必須</x:v>
      </x:c>
      <x:c r="M18" s="49" t="str">
        <x:v>未回答</x:v>
      </x:c>
      <x:c r="N18" s="49" t="str"/>
      <x:c r="O18" s="49" t="str"/>
      <x:c r="P18" s="49" t="str"/>
    </x:row>
    <x:row r="19">
      <x:c r="A19" s="49" t="str">
        <x:v>Q-015</x:v>
      </x:c>
      <x:c r="B19" s="49" t="str">
        <x:v>00_設計原則・統治</x:v>
      </x:c>
      <x:c r="C19" s="49" t="str">
        <x:v>全体</x:v>
      </x:c>
      <x:c r="D19" s="49" t="str">
        <x:v>実態/証跡</x:v>
      </x:c>
      <x:c r="E19" s="49" t="str">
        <x:v>機械可読化の対象外とする業務や、当面紙・口頭のまま残す業務はありますか。</x:v>
      </x:c>
      <x:c r="F19" s="49" t="str">
        <x:v>正本、責任、監査境界を先に固定し、局所自動化の矛盾を防ぐため</x:v>
      </x:c>
      <x:c r="G19" s="49" t="str">
        <x:v>Yes/No＋条件・例外</x:v>
      </x:c>
      <x:c r="H19" s="49" t="str">
        <x:v>Box=canonical、SF=control tower、raw/derived分離の既存方針</x:v>
      </x:c>
      <x:c r="I19" s="49" t="str">
        <x:v>代表・事務局長、設計DD、運用会議</x:v>
      </x:c>
      <x:c r="J19" s="49" t="str">
        <x:v>浅井先生＋中森事務局長</x:v>
      </x:c>
      <x:c r="K19" s="49" t="str">
        <x:v>P2</x:v>
      </x:c>
      <x:c r="L19" s="49" t="str">
        <x:v>一部可</x:v>
      </x:c>
      <x:c r="M19" s="49" t="str">
        <x:v>未回答</x:v>
      </x:c>
      <x:c r="N19" s="49" t="str"/>
      <x:c r="O19" s="49" t="str"/>
      <x:c r="P19" s="49" t="str"/>
    </x:row>
    <x:row r="20">
      <x:c r="A20" s="49" t="str">
        <x:v>Q-016</x:v>
      </x:c>
      <x:c r="B20" s="49" t="str">
        <x:v>00_設計原則・統治</x:v>
      </x:c>
      <x:c r="C20" s="49" t="str">
        <x:v>全体</x:v>
      </x:c>
      <x:c r="D20" s="49" t="str">
        <x:v>定義/ルール</x:v>
      </x:c>
      <x:c r="E20" s="49" t="str">
        <x:v>業務フロー変更の効果を、月次で誰がレビューし、どの会議で決定しますか。</x:v>
      </x:c>
      <x:c r="F20" s="49" t="str">
        <x:v>正本、責任、監査境界を先に固定し、局所自動化の矛盾を防ぐため</x:v>
      </x:c>
      <x:c r="G20" s="49" t="str">
        <x:v>役割選択＋責任者</x:v>
      </x:c>
      <x:c r="H20" s="49" t="str">
        <x:v>Box=canonical、SF=control tower、raw/derived分離の既存方針</x:v>
      </x:c>
      <x:c r="I20" s="49" t="str">
        <x:v>代表・事務局長、設計DD、運用会議</x:v>
      </x:c>
      <x:c r="J20" s="49" t="str">
        <x:v>浅井先生＋中森事務局長</x:v>
      </x:c>
      <x:c r="K20" s="49" t="str">
        <x:v>P2</x:v>
      </x:c>
      <x:c r="L20" s="49" t="str">
        <x:v>聴取必須</x:v>
      </x:c>
      <x:c r="M20" s="49" t="str">
        <x:v>未回答</x:v>
      </x:c>
      <x:c r="N20" s="49" t="str"/>
      <x:c r="O20" s="49" t="str"/>
      <x:c r="P20" s="49" t="str"/>
    </x:row>
    <x:row r="21">
      <x:c r="A21" s="49" t="str">
        <x:v>Q-017</x:v>
      </x:c>
      <x:c r="B21" s="49" t="str">
        <x:v>01_流入・問合せ受付</x:v>
      </x:c>
      <x:c r="C21" s="49" t="str">
        <x:v>WF-00〜WF-02</x:v>
      </x:c>
      <x:c r="D21" s="49" t="str">
        <x:v>実態/証跡</x:v>
      </x:c>
      <x:c r="E21" s="49" t="str">
        <x:v>新規相談が入る経路を漏れなく列挙してください（HP、直接メール、電話、紹介、顧問先、保険会社、法テラス、裁判所、セミナー等）。</x:v>
      </x:c>
      <x:c r="F21" s="49" t="str">
        <x:v>流入漏れ・重複・一次対応遅延を測定可能にするため</x:v>
      </x:c>
      <x:c r="G21" s="49" t="str">
        <x:v>複数選択＋自由記述</x:v>
      </x:c>
      <x:c r="H21" s="49" t="str">
        <x:v>SF ConsultationのSource/Stage/受付日、Gmail/Dialpad、電話マニュアル</x:v>
      </x:c>
      <x:c r="I21" s="49" t="str">
        <x:v>SF相談実データ、Gmail、Dialpad、HPフォーム、受付担当</x:v>
      </x:c>
      <x:c r="J21" s="49" t="str">
        <x:v>中森/西村＋弁護士</x:v>
      </x:c>
      <x:c r="K21" s="49" t="str">
        <x:v>P1</x:v>
      </x:c>
      <x:c r="L21" s="49" t="str">
        <x:v>一部可</x:v>
      </x:c>
      <x:c r="M21" s="49" t="str">
        <x:v>未回答</x:v>
      </x:c>
      <x:c r="N21" s="49" t="str"/>
      <x:c r="O21" s="49" t="str"/>
      <x:c r="P21" s="49" t="str"/>
    </x:row>
    <x:row r="22">
      <x:c r="A22" s="49" t="str">
        <x:v>Q-018</x:v>
      </x:c>
      <x:c r="B22" s="49" t="str">
        <x:v>01_流入・問合せ受付</x:v>
      </x:c>
      <x:c r="C22" s="49" t="str">
        <x:v>WF-00〜WF-02</x:v>
      </x:c>
      <x:c r="D22" s="49" t="str">
        <x:v>実態/証跡</x:v>
      </x:c>
      <x:c r="E22" s="49" t="str">
        <x:v>各流入経路で最初に見る人・一次返信する人・相談レコードを作る人は誰ですか。</x:v>
      </x:c>
      <x:c r="F22" s="49" t="str">
        <x:v>流入漏れ・重複・一次対応遅延を測定可能にするため</x:v>
      </x:c>
      <x:c r="G22" s="49" t="str">
        <x:v>役割選択＋責任者</x:v>
      </x:c>
      <x:c r="H22" s="49" t="str">
        <x:v>SF ConsultationのSource/Stage/受付日、Gmail/Dialpad、電話マニュアル</x:v>
      </x:c>
      <x:c r="I22" s="49" t="str">
        <x:v>SF相談実データ、Gmail、Dialpad、HPフォーム、受付担当</x:v>
      </x:c>
      <x:c r="J22" s="49" t="str">
        <x:v>中森/西村＋弁護士</x:v>
      </x:c>
      <x:c r="K22" s="49" t="str">
        <x:v>P1</x:v>
      </x:c>
      <x:c r="L22" s="49" t="str">
        <x:v>一部可</x:v>
      </x:c>
      <x:c r="M22" s="49" t="str">
        <x:v>未回答</x:v>
      </x:c>
      <x:c r="N22" s="49" t="str"/>
      <x:c r="O22" s="49" t="str"/>
      <x:c r="P22" s="49" t="str"/>
    </x:row>
    <x:row r="23">
      <x:c r="A23" s="49" t="str">
        <x:v>Q-019</x:v>
      </x:c>
      <x:c r="B23" s="49" t="str">
        <x:v>01_流入・問合せ受付</x:v>
      </x:c>
      <x:c r="C23" s="49" t="str">
        <x:v>WF-00〜WF-02</x:v>
      </x:c>
      <x:c r="D23" s="49" t="str">
        <x:v>実態/証跡</x:v>
      </x:c>
      <x:c r="E23" s="49" t="str">
        <x:v>どの時点でSalesforce相談レコードを作りますか（受信時、本人確認後、コンフリ前後、日程調整開始時）。</x:v>
      </x:c>
      <x:c r="F23" s="49" t="str">
        <x:v>流入漏れ・重複・一次対応遅延を測定可能にするため</x:v>
      </x:c>
      <x:c r="G23" s="49" t="str">
        <x:v>条件・時点</x:v>
      </x:c>
      <x:c r="H23" s="49" t="str">
        <x:v>SF ConsultationのSource/Stage/受付日、Gmail/Dialpad、電話マニュアル</x:v>
      </x:c>
      <x:c r="I23" s="49" t="str">
        <x:v>SF相談実データ、Gmail、Dialpad、HPフォーム、受付担当</x:v>
      </x:c>
      <x:c r="J23" s="49" t="str">
        <x:v>中森/西村＋弁護士</x:v>
      </x:c>
      <x:c r="K23" s="49" t="str">
        <x:v>P0</x:v>
      </x:c>
      <x:c r="L23" s="49" t="str">
        <x:v>一部可</x:v>
      </x:c>
      <x:c r="M23" s="49" t="str">
        <x:v>未回答</x:v>
      </x:c>
      <x:c r="N23" s="49" t="str"/>
      <x:c r="O23" s="49" t="str"/>
      <x:c r="P23" s="49" t="str"/>
    </x:row>
    <x:row r="24">
      <x:c r="A24" s="49" t="str">
        <x:v>Q-020</x:v>
      </x:c>
      <x:c r="B24" s="49" t="str">
        <x:v>01_流入・問合せ受付</x:v>
      </x:c>
      <x:c r="C24" s="49" t="str">
        <x:v>WF-00〜WF-02</x:v>
      </x:c>
      <x:c r="D24" s="49" t="str">
        <x:v>実態/証跡</x:v>
      </x:c>
      <x:c r="E24" s="49" t="str">
        <x:v>営業、採用、取材、既存案件連絡、顧問相談など、新規相談レコードを作らない条件は何ですか。</x:v>
      </x:c>
      <x:c r="F24" s="49" t="str">
        <x:v>流入漏れ・重複・一次対応遅延を測定可能にするため</x:v>
      </x:c>
      <x:c r="G24" s="49" t="str">
        <x:v>Yes/No＋条件・例外</x:v>
      </x:c>
      <x:c r="H24" s="49" t="str">
        <x:v>SF ConsultationのSource/Stage/受付日、Gmail/Dialpad、電話マニュアル</x:v>
      </x:c>
      <x:c r="I24" s="49" t="str">
        <x:v>SF相談実データ、Gmail、Dialpad、HPフォーム、受付担当</x:v>
      </x:c>
      <x:c r="J24" s="49" t="str">
        <x:v>中森/西村＋弁護士</x:v>
      </x:c>
      <x:c r="K24" s="49" t="str">
        <x:v>P1</x:v>
      </x:c>
      <x:c r="L24" s="49" t="str">
        <x:v>一部可</x:v>
      </x:c>
      <x:c r="M24" s="49" t="str">
        <x:v>未回答</x:v>
      </x:c>
      <x:c r="N24" s="49" t="str"/>
      <x:c r="O24" s="49" t="str"/>
      <x:c r="P24" s="49" t="str"/>
    </x:row>
    <x:row r="25">
      <x:c r="A25" s="49" t="str">
        <x:v>Q-021</x:v>
      </x:c>
      <x:c r="B25" s="49" t="str">
        <x:v>01_流入・問合せ受付</x:v>
      </x:c>
      <x:c r="C25" s="49" t="str">
        <x:v>WF-00〜WF-02</x:v>
      </x:c>
      <x:c r="D25" s="49" t="str">
        <x:v>実態/証跡</x:v>
      </x:c>
      <x:c r="E25" s="49" t="str">
        <x:v>既存の相談・案件と同一かを判断するため、最低限どの識別子を使いますか。</x:v>
      </x:c>
      <x:c r="F25" s="49" t="str">
        <x:v>流入漏れ・重複・一次対応遅延を測定可能にするため</x:v>
      </x:c>
      <x:c r="G25" s="49" t="str">
        <x:v>Yes/No＋条件・例外</x:v>
      </x:c>
      <x:c r="H25" s="49" t="str">
        <x:v>SF ConsultationのSource/Stage/受付日、Gmail/Dialpad、電話マニュアル</x:v>
      </x:c>
      <x:c r="I25" s="49" t="str">
        <x:v>SF相談実データ、Gmail、Dialpad、HPフォーム、受付担当</x:v>
      </x:c>
      <x:c r="J25" s="49" t="str">
        <x:v>中森/西村＋弁護士</x:v>
      </x:c>
      <x:c r="K25" s="49" t="str">
        <x:v>P1</x:v>
      </x:c>
      <x:c r="L25" s="49" t="str">
        <x:v>一部可</x:v>
      </x:c>
      <x:c r="M25" s="49" t="str">
        <x:v>未回答</x:v>
      </x:c>
      <x:c r="N25" s="49" t="str"/>
      <x:c r="O25" s="49" t="str"/>
      <x:c r="P25" s="49" t="str"/>
    </x:row>
    <x:row r="26">
      <x:c r="A26" s="49" t="str">
        <x:v>Q-022</x:v>
      </x:c>
      <x:c r="B26" s="49" t="str">
        <x:v>01_流入・問合せ受付</x:v>
      </x:c>
      <x:c r="C26" s="49" t="str">
        <x:v>WF-00〜WF-02</x:v>
      </x:c>
      <x:c r="D26" s="49" t="str">
        <x:v>実態/証跡</x:v>
      </x:c>
      <x:c r="E26" s="49" t="str">
        <x:v>電話受付で必ず聞く項目は何ですか。現在の電話マニュアルにない必須項目は何ですか。</x:v>
      </x:c>
      <x:c r="F26" s="49" t="str">
        <x:v>流入漏れ・重複・一次対応遅延を測定可能にするため</x:v>
      </x:c>
      <x:c r="G26" s="49" t="str">
        <x:v>Yes/No＋条件・例外</x:v>
      </x:c>
      <x:c r="H26" s="49" t="str">
        <x:v>SF ConsultationのSource/Stage/受付日、Gmail/Dialpad、電話マニュアル</x:v>
      </x:c>
      <x:c r="I26" s="49" t="str">
        <x:v>SF相談実データ、Gmail、Dialpad、HPフォーム、受付担当</x:v>
      </x:c>
      <x:c r="J26" s="49" t="str">
        <x:v>中森/西村＋弁護士</x:v>
      </x:c>
      <x:c r="K26" s="49" t="str">
        <x:v>P0</x:v>
      </x:c>
      <x:c r="L26" s="49" t="str">
        <x:v>一部可</x:v>
      </x:c>
      <x:c r="M26" s="49" t="str">
        <x:v>未回答</x:v>
      </x:c>
      <x:c r="N26" s="49" t="str"/>
      <x:c r="O26" s="49" t="str"/>
      <x:c r="P26" s="49" t="str"/>
    </x:row>
    <x:row r="27">
      <x:c r="A27" s="49" t="str">
        <x:v>Q-023</x:v>
      </x:c>
      <x:c r="B27" s="49" t="str">
        <x:v>01_流入・問合せ受付</x:v>
      </x:c>
      <x:c r="C27" s="49" t="str">
        <x:v>WF-00〜WF-02</x:v>
      </x:c>
      <x:c r="D27" s="49" t="str">
        <x:v>実態/証跡</x:v>
      </x:c>
      <x:c r="E27" s="49" t="str">
        <x:v>問い合わせ時に依頼者本人、代理人、法人担当者、紹介者をどのように区別しますか。</x:v>
      </x:c>
      <x:c r="F27" s="49" t="str">
        <x:v>流入漏れ・重複・一次対応遅延を測定可能にするため</x:v>
      </x:c>
      <x:c r="G27" s="49" t="str">
        <x:v>Yes/No＋条件・例外</x:v>
      </x:c>
      <x:c r="H27" s="49" t="str">
        <x:v>SF ConsultationのSource/Stage/受付日、Gmail/Dialpad、電話マニュアル</x:v>
      </x:c>
      <x:c r="I27" s="49" t="str">
        <x:v>SF相談実データ、Gmail、Dialpad、HPフォーム、受付担当</x:v>
      </x:c>
      <x:c r="J27" s="49" t="str">
        <x:v>中森/西村＋弁護士</x:v>
      </x:c>
      <x:c r="K27" s="49" t="str">
        <x:v>P1</x:v>
      </x:c>
      <x:c r="L27" s="49" t="str">
        <x:v>一部可</x:v>
      </x:c>
      <x:c r="M27" s="49" t="str">
        <x:v>未回答</x:v>
      </x:c>
      <x:c r="N27" s="49" t="str"/>
      <x:c r="O27" s="49" t="str"/>
      <x:c r="P27" s="49" t="str"/>
    </x:row>
    <x:row r="28">
      <x:c r="A28" s="49" t="str">
        <x:v>Q-024</x:v>
      </x:c>
      <x:c r="B28" s="49" t="str">
        <x:v>01_流入・問合せ受付</x:v>
      </x:c>
      <x:c r="C28" s="49" t="str">
        <x:v>WF-00〜WF-02</x:v>
      </x:c>
      <x:c r="D28" s="49" t="str">
        <x:v>実態/証跡</x:v>
      </x:c>
      <x:c r="E28" s="49" t="str">
        <x:v>法人相談の場合、法人名・担当者・代表者・実質的依頼主体をいつ確認しますか。</x:v>
      </x:c>
      <x:c r="F28" s="49" t="str">
        <x:v>流入漏れ・重複・一次対応遅延を測定可能にするため</x:v>
      </x:c>
      <x:c r="G28" s="49" t="str">
        <x:v>条件・時点</x:v>
      </x:c>
      <x:c r="H28" s="49" t="str">
        <x:v>SF ConsultationのSource/Stage/受付日、Gmail/Dialpad、電話マニュアル</x:v>
      </x:c>
      <x:c r="I28" s="49" t="str">
        <x:v>SF相談実データ、Gmail、Dialpad、HPフォーム、受付担当</x:v>
      </x:c>
      <x:c r="J28" s="49" t="str">
        <x:v>中森/西村＋弁護士</x:v>
      </x:c>
      <x:c r="K28" s="49" t="str">
        <x:v>P1</x:v>
      </x:c>
      <x:c r="L28" s="49" t="str">
        <x:v>一部可</x:v>
      </x:c>
      <x:c r="M28" s="49" t="str">
        <x:v>未回答</x:v>
      </x:c>
      <x:c r="N28" s="49" t="str"/>
      <x:c r="O28" s="49" t="str"/>
      <x:c r="P28" s="49" t="str"/>
    </x:row>
    <x:row r="29">
      <x:c r="A29" s="49" t="str">
        <x:v>Q-025</x:v>
      </x:c>
      <x:c r="B29" s="49" t="str">
        <x:v>01_流入・問合せ受付</x:v>
      </x:c>
      <x:c r="C29" s="49" t="str">
        <x:v>WF-00〜WF-02</x:v>
      </x:c>
      <x:c r="D29" s="49" t="str">
        <x:v>実態/証跡</x:v>
      </x:c>
      <x:c r="E29" s="49" t="str">
        <x:v>相手方名・関係者名・旧姓・商号変更・グループ会社をどの粒度で最初に取りますか。</x:v>
      </x:c>
      <x:c r="F29" s="49" t="str">
        <x:v>流入漏れ・重複・一次対応遅延を測定可能にするため</x:v>
      </x:c>
      <x:c r="G29" s="49" t="str">
        <x:v>Yes/No＋条件・例外</x:v>
      </x:c>
      <x:c r="H29" s="49" t="str">
        <x:v>SF ConsultationのSource/Stage/受付日、Gmail/Dialpad、電話マニュアル</x:v>
      </x:c>
      <x:c r="I29" s="49" t="str">
        <x:v>SF相談実データ、Gmail、Dialpad、HPフォーム、受付担当</x:v>
      </x:c>
      <x:c r="J29" s="49" t="str">
        <x:v>中森/西村＋弁護士</x:v>
      </x:c>
      <x:c r="K29" s="49" t="str">
        <x:v>P1</x:v>
      </x:c>
      <x:c r="L29" s="49" t="str">
        <x:v>一部可</x:v>
      </x:c>
      <x:c r="M29" s="49" t="str">
        <x:v>未回答</x:v>
      </x:c>
      <x:c r="N29" s="49" t="str"/>
      <x:c r="O29" s="49" t="str"/>
      <x:c r="P29" s="49" t="str"/>
    </x:row>
    <x:row r="30">
      <x:c r="A30" s="49" t="str">
        <x:v>Q-026</x:v>
      </x:c>
      <x:c r="B30" s="49" t="str">
        <x:v>01_流入・問合せ受付</x:v>
      </x:c>
      <x:c r="C30" s="49" t="str">
        <x:v>WF-00〜WF-02</x:v>
      </x:c>
      <x:c r="D30" s="49" t="str">
        <x:v>定義/ルール</x:v>
      </x:c>
      <x:c r="E30" s="49" t="str">
        <x:v>住所秘匿、家族同居、勤務先連絡不可など、安全な連絡方法をいつ誰が確認しますか。</x:v>
      </x:c>
      <x:c r="F30" s="49" t="str">
        <x:v>流入漏れ・重複・一次対応遅延を測定可能にするため</x:v>
      </x:c>
      <x:c r="G30" s="49" t="str">
        <x:v>役割選択＋責任者</x:v>
      </x:c>
      <x:c r="H30" s="49" t="str">
        <x:v>SF ConsultationのSource/Stage/受付日、Gmail/Dialpad、電話マニュアル</x:v>
      </x:c>
      <x:c r="I30" s="49" t="str">
        <x:v>SF相談実データ、Gmail、Dialpad、HPフォーム、受付担当</x:v>
      </x:c>
      <x:c r="J30" s="49" t="str">
        <x:v>中森/西村＋弁護士</x:v>
      </x:c>
      <x:c r="K30" s="49" t="str">
        <x:v>P1</x:v>
      </x:c>
      <x:c r="L30" s="49" t="str">
        <x:v>聴取必須</x:v>
      </x:c>
      <x:c r="M30" s="49" t="str">
        <x:v>未回答</x:v>
      </x:c>
      <x:c r="N30" s="49" t="str"/>
      <x:c r="O30" s="49" t="str"/>
      <x:c r="P30" s="49" t="str"/>
    </x:row>
    <x:row r="31">
      <x:c r="A31" s="49" t="str">
        <x:v>Q-027</x:v>
      </x:c>
      <x:c r="B31" s="49" t="str">
        <x:v>01_流入・問合せ受付</x:v>
      </x:c>
      <x:c r="C31" s="49" t="str">
        <x:v>WF-00〜WF-02</x:v>
      </x:c>
      <x:c r="D31" s="49" t="str">
        <x:v>定義/ルール</x:v>
      </x:c>
      <x:c r="E31" s="49" t="str">
        <x:v>相談内容に期限・期日・時効・回答期限があるかを、誰が何分以内に確認しますか。</x:v>
      </x:c>
      <x:c r="F31" s="49" t="str">
        <x:v>流入漏れ・重複・一次対応遅延を測定可能にするため</x:v>
      </x:c>
      <x:c r="G31" s="49" t="str">
        <x:v>役割選択＋責任者</x:v>
      </x:c>
      <x:c r="H31" s="49" t="str">
        <x:v>SF ConsultationのSource/Stage/受付日、Gmail/Dialpad、電話マニュアル</x:v>
      </x:c>
      <x:c r="I31" s="49" t="str">
        <x:v>SF相談実データ、Gmail、Dialpad、HPフォーム、受付担当</x:v>
      </x:c>
      <x:c r="J31" s="49" t="str">
        <x:v>中森/西村＋弁護士</x:v>
      </x:c>
      <x:c r="K31" s="49" t="str">
        <x:v>P0</x:v>
      </x:c>
      <x:c r="L31" s="49" t="str">
        <x:v>聴取必須</x:v>
      </x:c>
      <x:c r="M31" s="49" t="str">
        <x:v>未回答</x:v>
      </x:c>
      <x:c r="N31" s="49" t="str"/>
      <x:c r="O31" s="49" t="str"/>
      <x:c r="P31" s="49" t="str"/>
    </x:row>
    <x:row r="32">
      <x:c r="A32" s="49" t="str">
        <x:v>Q-028</x:v>
      </x:c>
      <x:c r="B32" s="49" t="str">
        <x:v>01_流入・問合せ受付</x:v>
      </x:c>
      <x:c r="C32" s="49" t="str">
        <x:v>WF-00〜WF-02</x:v>
      </x:c>
      <x:c r="D32" s="49" t="str">
        <x:v>実態/証跡</x:v>
      </x:c>
      <x:c r="E32" s="49" t="str">
        <x:v>夜間・休日の問い合わせはどこに入り、翌営業日の誰のキューになりますか。</x:v>
      </x:c>
      <x:c r="F32" s="49" t="str">
        <x:v>流入漏れ・重複・一次対応遅延を測定可能にするため</x:v>
      </x:c>
      <x:c r="G32" s="49" t="str">
        <x:v>役割選択＋責任者</x:v>
      </x:c>
      <x:c r="H32" s="49" t="str">
        <x:v>SF ConsultationのSource/Stage/受付日、Gmail/Dialpad、電話マニュアル</x:v>
      </x:c>
      <x:c r="I32" s="49" t="str">
        <x:v>SF相談実データ、Gmail、Dialpad、HPフォーム、受付担当</x:v>
      </x:c>
      <x:c r="J32" s="49" t="str">
        <x:v>中森/西村＋弁護士</x:v>
      </x:c>
      <x:c r="K32" s="49" t="str">
        <x:v>P2</x:v>
      </x:c>
      <x:c r="L32" s="49" t="str">
        <x:v>一部可</x:v>
      </x:c>
      <x:c r="M32" s="49" t="str">
        <x:v>未回答</x:v>
      </x:c>
      <x:c r="N32" s="49" t="str"/>
      <x:c r="O32" s="49" t="str"/>
      <x:c r="P32" s="49" t="str"/>
    </x:row>
    <x:row r="33">
      <x:c r="A33" s="49" t="str">
        <x:v>Q-029</x:v>
      </x:c>
      <x:c r="B33" s="49" t="str">
        <x:v>01_流入・問合せ受付</x:v>
      </x:c>
      <x:c r="C33" s="49" t="str">
        <x:v>WF-00〜WF-02</x:v>
      </x:c>
      <x:c r="D33" s="49" t="str">
        <x:v>実態/証跡</x:v>
      </x:c>
      <x:c r="E33" s="49" t="str">
        <x:v>同一人物から複数の問題が来た場合、1相談か複数相談かを何で分けますか。</x:v>
      </x:c>
      <x:c r="F33" s="49" t="str">
        <x:v>流入漏れ・重複・一次対応遅延を測定可能にするため</x:v>
      </x:c>
      <x:c r="G33" s="49" t="str">
        <x:v>Yes/No＋条件・例外</x:v>
      </x:c>
      <x:c r="H33" s="49" t="str">
        <x:v>SF ConsultationのSource/Stage/受付日、Gmail/Dialpad、電話マニュアル</x:v>
      </x:c>
      <x:c r="I33" s="49" t="str">
        <x:v>SF相談実データ、Gmail、Dialpad、HPフォーム、受付担当</x:v>
      </x:c>
      <x:c r="J33" s="49" t="str">
        <x:v>中森/西村＋弁護士</x:v>
      </x:c>
      <x:c r="K33" s="49" t="str">
        <x:v>P2</x:v>
      </x:c>
      <x:c r="L33" s="49" t="str">
        <x:v>一部可</x:v>
      </x:c>
      <x:c r="M33" s="49" t="str">
        <x:v>未回答</x:v>
      </x:c>
      <x:c r="N33" s="49" t="str"/>
      <x:c r="O33" s="49" t="str"/>
      <x:c r="P33" s="49" t="str"/>
    </x:row>
    <x:row r="34">
      <x:c r="A34" s="49" t="str">
        <x:v>Q-030</x:v>
      </x:c>
      <x:c r="B34" s="49" t="str">
        <x:v>01_流入・問合せ受付</x:v>
      </x:c>
      <x:c r="C34" s="49" t="str">
        <x:v>WF-00〜WF-02</x:v>
      </x:c>
      <x:c r="D34" s="49" t="str">
        <x:v>実態/証跡</x:v>
      </x:c>
      <x:c r="E34" s="49" t="str">
        <x:v>同じメールスレッドで別案件へ話題転換した場合、どの時点で分割しますか。</x:v>
      </x:c>
      <x:c r="F34" s="49" t="str">
        <x:v>流入漏れ・重複・一次対応遅延を測定可能にするため</x:v>
      </x:c>
      <x:c r="G34" s="49" t="str">
        <x:v>条件・時点</x:v>
      </x:c>
      <x:c r="H34" s="49" t="str">
        <x:v>SF ConsultationのSource/Stage/受付日、Gmail/Dialpad、電話マニュアル</x:v>
      </x:c>
      <x:c r="I34" s="49" t="str">
        <x:v>SF相談実データ、Gmail、Dialpad、HPフォーム、受付担当</x:v>
      </x:c>
      <x:c r="J34" s="49" t="str">
        <x:v>中森/西村＋弁護士</x:v>
      </x:c>
      <x:c r="K34" s="49" t="str">
        <x:v>P2</x:v>
      </x:c>
      <x:c r="L34" s="49" t="str">
        <x:v>一部可</x:v>
      </x:c>
      <x:c r="M34" s="49" t="str">
        <x:v>未回答</x:v>
      </x:c>
      <x:c r="N34" s="49" t="str"/>
      <x:c r="O34" s="49" t="str"/>
      <x:c r="P34" s="49" t="str"/>
    </x:row>
    <x:row r="35">
      <x:c r="A35" s="49" t="str">
        <x:v>Q-031</x:v>
      </x:c>
      <x:c r="B35" s="49" t="str">
        <x:v>01_流入・問合せ受付</x:v>
      </x:c>
      <x:c r="C35" s="49" t="str">
        <x:v>WF-00〜WF-02</x:v>
      </x:c>
      <x:c r="D35" s="49" t="str">
        <x:v>実態/証跡</x:v>
      </x:c>
      <x:c r="E35" s="49" t="str">
        <x:v>紹介者情報は、単なる流入分析だけでなく関係維持・お礼・利益相反に使いますか。</x:v>
      </x:c>
      <x:c r="F35" s="49" t="str">
        <x:v>流入漏れ・重複・一次対応遅延を測定可能にするため</x:v>
      </x:c>
      <x:c r="G35" s="49" t="str">
        <x:v>Yes/No＋条件・例外</x:v>
      </x:c>
      <x:c r="H35" s="49" t="str">
        <x:v>SF ConsultationのSource/Stage/受付日、Gmail/Dialpad、電話マニュアル</x:v>
      </x:c>
      <x:c r="I35" s="49" t="str">
        <x:v>SF相談実データ、Gmail、Dialpad、HPフォーム、受付担当</x:v>
      </x:c>
      <x:c r="J35" s="49" t="str">
        <x:v>中森/西村＋弁護士</x:v>
      </x:c>
      <x:c r="K35" s="49" t="str">
        <x:v>P2</x:v>
      </x:c>
      <x:c r="L35" s="49" t="str">
        <x:v>一部可</x:v>
      </x:c>
      <x:c r="M35" s="49" t="str">
        <x:v>未回答</x:v>
      </x:c>
      <x:c r="N35" s="49" t="str"/>
      <x:c r="O35" s="49" t="str"/>
      <x:c r="P35" s="49" t="str"/>
    </x:row>
    <x:row r="36">
      <x:c r="A36" s="49" t="str">
        <x:v>Q-032</x:v>
      </x:c>
      <x:c r="B36" s="49" t="str">
        <x:v>01_流入・問合せ受付</x:v>
      </x:c>
      <x:c r="C36" s="49" t="str">
        <x:v>WF-00〜WF-02</x:v>
      </x:c>
      <x:c r="D36" s="49" t="str">
        <x:v>実態/証跡</x:v>
      </x:c>
      <x:c r="E36" s="49" t="str">
        <x:v>HP流入のページ、検索語、キャンペーンなどのマーケティング情報を保存する必要がありますか。</x:v>
      </x:c>
      <x:c r="F36" s="49" t="str">
        <x:v>流入漏れ・重複・一次対応遅延を測定可能にするため</x:v>
      </x:c>
      <x:c r="G36" s="49" t="str">
        <x:v>Yes/No＋条件・例外</x:v>
      </x:c>
      <x:c r="H36" s="49" t="str">
        <x:v>SF ConsultationのSource/Stage/受付日、Gmail/Dialpad、電話マニュアル</x:v>
      </x:c>
      <x:c r="I36" s="49" t="str">
        <x:v>SF相談実データ、Gmail、Dialpad、HPフォーム、受付担当</x:v>
      </x:c>
      <x:c r="J36" s="49" t="str">
        <x:v>中森/西村＋弁護士</x:v>
      </x:c>
      <x:c r="K36" s="49" t="str">
        <x:v>P2</x:v>
      </x:c>
      <x:c r="L36" s="49" t="str">
        <x:v>一部可</x:v>
      </x:c>
      <x:c r="M36" s="49" t="str">
        <x:v>未回答</x:v>
      </x:c>
      <x:c r="N36" s="49" t="str"/>
      <x:c r="O36" s="49" t="str"/>
      <x:c r="P36" s="49" t="str"/>
    </x:row>
    <x:row r="37">
      <x:c r="A37" s="49" t="str">
        <x:v>Q-033</x:v>
      </x:c>
      <x:c r="B37" s="49" t="str">
        <x:v>01_流入・問合せ受付</x:v>
      </x:c>
      <x:c r="C37" s="49" t="str">
        <x:v>WF-00〜WF-02</x:v>
      </x:c>
      <x:c r="D37" s="49" t="str">
        <x:v>実態/証跡</x:v>
      </x:c>
      <x:c r="E37" s="49" t="str">
        <x:v>問い合わせ受信から一次返信までの目標時間と、超過時のエスカレーションは何ですか。</x:v>
      </x:c>
      <x:c r="F37" s="49" t="str">
        <x:v>流入漏れ・重複・一次対応遅延を測定可能にするため</x:v>
      </x:c>
      <x:c r="G37" s="49" t="str">
        <x:v>Yes/No＋条件・例外</x:v>
      </x:c>
      <x:c r="H37" s="49" t="str">
        <x:v>SF ConsultationのSource/Stage/受付日、Gmail/Dialpad、電話マニュアル</x:v>
      </x:c>
      <x:c r="I37" s="49" t="str">
        <x:v>SF相談実データ、Gmail、Dialpad、HPフォーム、受付担当</x:v>
      </x:c>
      <x:c r="J37" s="49" t="str">
        <x:v>中森/西村＋弁護士</x:v>
      </x:c>
      <x:c r="K37" s="49" t="str">
        <x:v>P2</x:v>
      </x:c>
      <x:c r="L37" s="49" t="str">
        <x:v>一部可</x:v>
      </x:c>
      <x:c r="M37" s="49" t="str">
        <x:v>未回答</x:v>
      </x:c>
      <x:c r="N37" s="49" t="str"/>
      <x:c r="O37" s="49" t="str"/>
      <x:c r="P37" s="49" t="str"/>
    </x:row>
    <x:row r="38">
      <x:c r="A38" s="49" t="str">
        <x:v>Q-034</x:v>
      </x:c>
      <x:c r="B38" s="49" t="str">
        <x:v>01_流入・問合せ受付</x:v>
      </x:c>
      <x:c r="C38" s="49" t="str">
        <x:v>WF-00〜WF-02</x:v>
      </x:c>
      <x:c r="D38" s="49" t="str">
        <x:v>実態/証跡</x:v>
      </x:c>
      <x:c r="E38" s="49" t="str">
        <x:v>連絡が取れない相談候補を何回・何日でクローズし、再開時は同一レコードを使いますか。</x:v>
      </x:c>
      <x:c r="F38" s="49" t="str">
        <x:v>流入漏れ・重複・一次対応遅延を測定可能にするため</x:v>
      </x:c>
      <x:c r="G38" s="49" t="str">
        <x:v>数値＋単位</x:v>
      </x:c>
      <x:c r="H38" s="49" t="str">
        <x:v>SF ConsultationのSource/Stage/受付日、Gmail/Dialpad、電話マニュアル</x:v>
      </x:c>
      <x:c r="I38" s="49" t="str">
        <x:v>SF相談実データ、Gmail、Dialpad、HPフォーム、受付担当</x:v>
      </x:c>
      <x:c r="J38" s="49" t="str">
        <x:v>中森/西村＋弁護士</x:v>
      </x:c>
      <x:c r="K38" s="49" t="str">
        <x:v>P2</x:v>
      </x:c>
      <x:c r="L38" s="49" t="str">
        <x:v>一部可</x:v>
      </x:c>
      <x:c r="M38" s="49" t="str">
        <x:v>未回答</x:v>
      </x:c>
      <x:c r="N38" s="49" t="str"/>
      <x:c r="O38" s="49" t="str"/>
      <x:c r="P38" s="49" t="str"/>
    </x:row>
    <x:row r="39">
      <x:c r="A39" s="49" t="str">
        <x:v>Q-035</x:v>
      </x:c>
      <x:c r="B39" s="49" t="str">
        <x:v>01_流入・問合せ受付</x:v>
      </x:c>
      <x:c r="C39" s="49" t="str">
        <x:v>WF-00〜WF-02</x:v>
      </x:c>
      <x:c r="D39" s="49" t="str">
        <x:v>実態/証跡</x:v>
      </x:c>
      <x:c r="E39" s="49" t="str">
        <x:v>相談に至らなかった理由の選択肢は現行Salesforceで十分ですか。追加・統合すべき理由はありますか。</x:v>
      </x:c>
      <x:c r="F39" s="49" t="str">
        <x:v>流入漏れ・重複・一次対応遅延を測定可能にするため</x:v>
      </x:c>
      <x:c r="G39" s="49" t="str">
        <x:v>Yes/No＋条件・例外</x:v>
      </x:c>
      <x:c r="H39" s="49" t="str">
        <x:v>SF ConsultationのSource/Stage/受付日、Gmail/Dialpad、電話マニュアル</x:v>
      </x:c>
      <x:c r="I39" s="49" t="str">
        <x:v>SF相談実データ、Gmail、Dialpad、HPフォーム、受付担当</x:v>
      </x:c>
      <x:c r="J39" s="49" t="str">
        <x:v>中森/西村＋弁護士</x:v>
      </x:c>
      <x:c r="K39" s="49" t="str">
        <x:v>P2</x:v>
      </x:c>
      <x:c r="L39" s="49" t="str">
        <x:v>一部可</x:v>
      </x:c>
      <x:c r="M39" s="49" t="str">
        <x:v>未回答</x:v>
      </x:c>
      <x:c r="N39" s="49" t="str"/>
      <x:c r="O39" s="49" t="str"/>
      <x:c r="P39" s="49" t="str"/>
    </x:row>
    <x:row r="40">
      <x:c r="A40" s="49" t="str">
        <x:v>Q-036</x:v>
      </x:c>
      <x:c r="B40" s="49" t="str">
        <x:v>01_流入・問合せ受付</x:v>
      </x:c>
      <x:c r="C40" s="49" t="str">
        <x:v>WF-00〜WF-02</x:v>
      </x:c>
      <x:c r="D40" s="49" t="str">
        <x:v>実態/証跡</x:v>
      </x:c>
      <x:c r="E40" s="49" t="str">
        <x:v>受付時点の証跡として必ず残すものは何ですか（メールID、通話ID、受付メモ、紹介状等）。</x:v>
      </x:c>
      <x:c r="F40" s="49" t="str">
        <x:v>流入漏れ・重複・一次対応遅延を測定可能にするため</x:v>
      </x:c>
      <x:c r="G40" s="49" t="str">
        <x:v>自由記述</x:v>
      </x:c>
      <x:c r="H40" s="49" t="str">
        <x:v>SF ConsultationのSource/Stage/受付日、Gmail/Dialpad、電話マニュアル</x:v>
      </x:c>
      <x:c r="I40" s="49" t="str">
        <x:v>SF相談実データ、Gmail、Dialpad、HPフォーム、受付担当</x:v>
      </x:c>
      <x:c r="J40" s="49" t="str">
        <x:v>中森/西村＋弁護士</x:v>
      </x:c>
      <x:c r="K40" s="49" t="str">
        <x:v>P2</x:v>
      </x:c>
      <x:c r="L40" s="49" t="str">
        <x:v>一部可</x:v>
      </x:c>
      <x:c r="M40" s="49" t="str">
        <x:v>未回答</x:v>
      </x:c>
      <x:c r="N40" s="49" t="str"/>
      <x:c r="O40" s="49" t="str"/>
      <x:c r="P40" s="49" t="str"/>
    </x:row>
    <x:row r="41">
      <x:c r="A41" s="49" t="str">
        <x:v>Q-037</x:v>
      </x:c>
      <x:c r="B41" s="49" t="str">
        <x:v>02_本人関係・コンフリ・トリアージ</x:v>
      </x:c>
      <x:c r="C41" s="49" t="str">
        <x:v>WF-02〜WF-04</x:v>
      </x:c>
      <x:c r="D41" s="49" t="str">
        <x:v>定義/ルール</x:v>
      </x:c>
      <x:c r="E41" s="49" t="str">
        <x:v>コンフリチェックは誰が依頼し、誰が検索し、誰が最終判断しますか。</x:v>
      </x:c>
      <x:c r="F41" s="49" t="str">
        <x:v>受任前の重大リスクと判断証跡を一意にするため</x:v>
      </x:c>
      <x:c r="G41" s="49" t="str">
        <x:v>役割選択＋責任者</x:v>
      </x:c>
      <x:c r="H41" s="49" t="str">
        <x:v>SF StageNameにコンフリチェック中、失注理由、関係者オブジェクト</x:v>
      </x:c>
      <x:c r="I41" s="49" t="str">
        <x:v>担当弁護士、事務局、過去コンフリ例、SF/Box/Gmail</x:v>
      </x:c>
      <x:c r="J41" s="49" t="str">
        <x:v>全弁護士＋中森</x:v>
      </x:c>
      <x:c r="K41" s="49" t="str">
        <x:v>P0</x:v>
      </x:c>
      <x:c r="L41" s="49" t="str">
        <x:v>聴取必須</x:v>
      </x:c>
      <x:c r="M41" s="49" t="str">
        <x:v>未回答</x:v>
      </x:c>
      <x:c r="N41" s="49" t="str"/>
      <x:c r="O41" s="49" t="str"/>
      <x:c r="P41" s="49" t="str"/>
    </x:row>
    <x:row r="42">
      <x:c r="A42" s="49" t="str">
        <x:v>Q-038</x:v>
      </x:c>
      <x:c r="B42" s="49" t="str">
        <x:v>02_本人関係・コンフリ・トリアージ</x:v>
      </x:c>
      <x:c r="C42" s="49" t="str">
        <x:v>WF-02〜WF-04</x:v>
      </x:c>
      <x:c r="D42" s="49" t="str">
        <x:v>実態/証跡</x:v>
      </x:c>
      <x:c r="E42" s="49" t="str">
        <x:v>コンフリチェック開始前に必要な最小項目は何ですか。</x:v>
      </x:c>
      <x:c r="F42" s="49" t="str">
        <x:v>受任前の重大リスクと判断証跡を一意にするため</x:v>
      </x:c>
      <x:c r="G42" s="49" t="str">
        <x:v>Yes/No＋条件・例外</x:v>
      </x:c>
      <x:c r="H42" s="49" t="str">
        <x:v>SF StageNameにコンフリチェック中、失注理由、関係者オブジェクト</x:v>
      </x:c>
      <x:c r="I42" s="49" t="str">
        <x:v>担当弁護士、事務局、過去コンフリ例、SF/Box/Gmail</x:v>
      </x:c>
      <x:c r="J42" s="49" t="str">
        <x:v>全弁護士＋中森</x:v>
      </x:c>
      <x:c r="K42" s="49" t="str">
        <x:v>P0</x:v>
      </x:c>
      <x:c r="L42" s="49" t="str">
        <x:v>一部可</x:v>
      </x:c>
      <x:c r="M42" s="49" t="str">
        <x:v>未回答</x:v>
      </x:c>
      <x:c r="N42" s="49" t="str"/>
      <x:c r="O42" s="49" t="str"/>
      <x:c r="P42" s="49" t="str"/>
    </x:row>
    <x:row r="43">
      <x:c r="A43" s="49" t="str">
        <x:v>Q-039</x:v>
      </x:c>
      <x:c r="B43" s="49" t="str">
        <x:v>02_本人関係・コンフリ・トリアージ</x:v>
      </x:c>
      <x:c r="C43" s="49" t="str">
        <x:v>WF-02〜WF-04</x:v>
      </x:c>
      <x:c r="D43" s="49" t="str">
        <x:v>実態/証跡</x:v>
      </x:c>
      <x:c r="E43" s="49" t="str">
        <x:v>検索対象は依頼候補、相手方、役員、親族、関係会社、保険会社、金融機関のどこまでですか。</x:v>
      </x:c>
      <x:c r="F43" s="49" t="str">
        <x:v>受任前の重大リスクと判断証跡を一意にするため</x:v>
      </x:c>
      <x:c r="G43" s="49" t="str">
        <x:v>Yes/No＋条件・例外</x:v>
      </x:c>
      <x:c r="H43" s="49" t="str">
        <x:v>SF StageNameにコンフリチェック中、失注理由、関係者オブジェクト</x:v>
      </x:c>
      <x:c r="I43" s="49" t="str">
        <x:v>担当弁護士、事務局、過去コンフリ例、SF/Box/Gmail</x:v>
      </x:c>
      <x:c r="J43" s="49" t="str">
        <x:v>全弁護士＋中森</x:v>
      </x:c>
      <x:c r="K43" s="49" t="str">
        <x:v>P1</x:v>
      </x:c>
      <x:c r="L43" s="49" t="str">
        <x:v>一部可</x:v>
      </x:c>
      <x:c r="M43" s="49" t="str">
        <x:v>未回答</x:v>
      </x:c>
      <x:c r="N43" s="49" t="str"/>
      <x:c r="O43" s="49" t="str"/>
      <x:c r="P43" s="49" t="str"/>
    </x:row>
    <x:row r="44">
      <x:c r="A44" s="49" t="str">
        <x:v>Q-040</x:v>
      </x:c>
      <x:c r="B44" s="49" t="str">
        <x:v>02_本人関係・コンフリ・トリアージ</x:v>
      </x:c>
      <x:c r="C44" s="49" t="str">
        <x:v>WF-02〜WF-04</x:v>
      </x:c>
      <x:c r="D44" s="49" t="str">
        <x:v>実態/証跡</x:v>
      </x:c>
      <x:c r="E44" s="49" t="str">
        <x:v>氏名の表記揺れ、旧姓、外国語表記、屋号、法人番号をどのように扱いますか。</x:v>
      </x:c>
      <x:c r="F44" s="49" t="str">
        <x:v>受任前の重大リスクと判断証跡を一意にするため</x:v>
      </x:c>
      <x:c r="G44" s="49" t="str">
        <x:v>Yes/No＋条件・例外</x:v>
      </x:c>
      <x:c r="H44" s="49" t="str">
        <x:v>SF StageNameにコンフリチェック中、失注理由、関係者オブジェクト</x:v>
      </x:c>
      <x:c r="I44" s="49" t="str">
        <x:v>担当弁護士、事務局、過去コンフリ例、SF/Box/Gmail</x:v>
      </x:c>
      <x:c r="J44" s="49" t="str">
        <x:v>全弁護士＋中森</x:v>
      </x:c>
      <x:c r="K44" s="49" t="str">
        <x:v>P1</x:v>
      </x:c>
      <x:c r="L44" s="49" t="str">
        <x:v>一部可</x:v>
      </x:c>
      <x:c r="M44" s="49" t="str">
        <x:v>未回答</x:v>
      </x:c>
      <x:c r="N44" s="49" t="str"/>
      <x:c r="O44" s="49" t="str"/>
      <x:c r="P44" s="49" t="str"/>
    </x:row>
    <x:row r="45">
      <x:c r="A45" s="49" t="str">
        <x:v>Q-041</x:v>
      </x:c>
      <x:c r="B45" s="49" t="str">
        <x:v>02_本人関係・コンフリ・トリアージ</x:v>
      </x:c>
      <x:c r="C45" s="49" t="str">
        <x:v>WF-02〜WF-04</x:v>
      </x:c>
      <x:c r="D45" s="49" t="str">
        <x:v>実態/証跡</x:v>
      </x:c>
      <x:c r="E45" s="49" t="str">
        <x:v>Salesforce、Box、Gmail、過去アーカイブのどこを検索すればチェック完了ですか。</x:v>
      </x:c>
      <x:c r="F45" s="49" t="str">
        <x:v>受任前の重大リスクと判断証跡を一意にするため</x:v>
      </x:c>
      <x:c r="G45" s="49" t="str">
        <x:v>Yes/No＋条件・例外</x:v>
      </x:c>
      <x:c r="H45" s="49" t="str">
        <x:v>SF StageNameにコンフリチェック中、失注理由、関係者オブジェクト</x:v>
      </x:c>
      <x:c r="I45" s="49" t="str">
        <x:v>担当弁護士、事務局、過去コンフリ例、SF/Box/Gmail</x:v>
      </x:c>
      <x:c r="J45" s="49" t="str">
        <x:v>全弁護士＋中森</x:v>
      </x:c>
      <x:c r="K45" s="49" t="str">
        <x:v>P1</x:v>
      </x:c>
      <x:c r="L45" s="49" t="str">
        <x:v>実査可</x:v>
      </x:c>
      <x:c r="M45" s="49" t="str">
        <x:v>未回答</x:v>
      </x:c>
      <x:c r="N45" s="49" t="str"/>
      <x:c r="O45" s="49" t="str"/>
      <x:c r="P45" s="49" t="str"/>
    </x:row>
    <x:row r="46">
      <x:c r="A46" s="49" t="str">
        <x:v>Q-042</x:v>
      </x:c>
      <x:c r="B46" s="49" t="str">
        <x:v>02_本人関係・コンフリ・トリアージ</x:v>
      </x:c>
      <x:c r="C46" s="49" t="str">
        <x:v>WF-02〜WF-04</x:v>
      </x:c>
      <x:c r="D46" s="49" t="str">
        <x:v>実態/証跡</x:v>
      </x:c>
      <x:c r="E46" s="49" t="str">
        <x:v>検索条件・検索日・検索者・ヒット一覧・除外理由を保存しますか。</x:v>
      </x:c>
      <x:c r="F46" s="49" t="str">
        <x:v>受任前の重大リスクと判断証跡を一意にするため</x:v>
      </x:c>
      <x:c r="G46" s="49" t="str">
        <x:v>Yes/No＋条件・例外</x:v>
      </x:c>
      <x:c r="H46" s="49" t="str">
        <x:v>SF StageNameにコンフリチェック中、失注理由、関係者オブジェクト</x:v>
      </x:c>
      <x:c r="I46" s="49" t="str">
        <x:v>担当弁護士、事務局、過去コンフリ例、SF/Box/Gmail</x:v>
      </x:c>
      <x:c r="J46" s="49" t="str">
        <x:v>全弁護士＋中森</x:v>
      </x:c>
      <x:c r="K46" s="49" t="str">
        <x:v>P1</x:v>
      </x:c>
      <x:c r="L46" s="49" t="str">
        <x:v>一部可</x:v>
      </x:c>
      <x:c r="M46" s="49" t="str">
        <x:v>未回答</x:v>
      </x:c>
      <x:c r="N46" s="49" t="str"/>
      <x:c r="O46" s="49" t="str"/>
      <x:c r="P46" s="49" t="str"/>
    </x:row>
    <x:row r="47">
      <x:c r="A47" s="49" t="str">
        <x:v>Q-043</x:v>
      </x:c>
      <x:c r="B47" s="49" t="str">
        <x:v>02_本人関係・コンフリ・トリアージ</x:v>
      </x:c>
      <x:c r="C47" s="49" t="str">
        <x:v>WF-02〜WF-04</x:v>
      </x:c>
      <x:c r="D47" s="49" t="str">
        <x:v>実態/証跡</x:v>
      </x:c>
      <x:c r="E47" s="49" t="str">
        <x:v>結果区分はpass/fail/要弁護士判断/追加情報待ちで足りますか。</x:v>
      </x:c>
      <x:c r="F47" s="49" t="str">
        <x:v>受任前の重大リスクと判断証跡を一意にするため</x:v>
      </x:c>
      <x:c r="G47" s="49" t="str">
        <x:v>Yes/No＋条件・例外</x:v>
      </x:c>
      <x:c r="H47" s="49" t="str">
        <x:v>SF StageNameにコンフリチェック中、失注理由、関係者オブジェクト</x:v>
      </x:c>
      <x:c r="I47" s="49" t="str">
        <x:v>担当弁護士、事務局、過去コンフリ例、SF/Box/Gmail</x:v>
      </x:c>
      <x:c r="J47" s="49" t="str">
        <x:v>全弁護士＋中森</x:v>
      </x:c>
      <x:c r="K47" s="49" t="str">
        <x:v>P1</x:v>
      </x:c>
      <x:c r="L47" s="49" t="str">
        <x:v>一部可</x:v>
      </x:c>
      <x:c r="M47" s="49" t="str">
        <x:v>未回答</x:v>
      </x:c>
      <x:c r="N47" s="49" t="str"/>
      <x:c r="O47" s="49" t="str"/>
      <x:c r="P47" s="49" t="str"/>
    </x:row>
    <x:row r="48">
      <x:c r="A48" s="49" t="str">
        <x:v>Q-044</x:v>
      </x:c>
      <x:c r="B48" s="49" t="str">
        <x:v>02_本人関係・コンフリ・トリアージ</x:v>
      </x:c>
      <x:c r="C48" s="49" t="str">
        <x:v>WF-02〜WF-04</x:v>
      </x:c>
      <x:c r="D48" s="49" t="str">
        <x:v>定義/ルール</x:v>
      </x:c>
      <x:c r="E48" s="49" t="str">
        <x:v>利益相反ではないが受任不適切と判断する基準をどのように分けて記録しますか。</x:v>
      </x:c>
      <x:c r="F48" s="49" t="str">
        <x:v>受任前の重大リスクと判断証跡を一意にするため</x:v>
      </x:c>
      <x:c r="G48" s="49" t="str">
        <x:v>Yes/No＋条件・例外</x:v>
      </x:c>
      <x:c r="H48" s="49" t="str">
        <x:v>SF StageNameにコンフリチェック中、失注理由、関係者オブジェクト</x:v>
      </x:c>
      <x:c r="I48" s="49" t="str">
        <x:v>担当弁護士、事務局、過去コンフリ例、SF/Box/Gmail</x:v>
      </x:c>
      <x:c r="J48" s="49" t="str">
        <x:v>全弁護士＋中森</x:v>
      </x:c>
      <x:c r="K48" s="49" t="str">
        <x:v>P1</x:v>
      </x:c>
      <x:c r="L48" s="49" t="str">
        <x:v>聴取必須</x:v>
      </x:c>
      <x:c r="M48" s="49" t="str">
        <x:v>未回答</x:v>
      </x:c>
      <x:c r="N48" s="49" t="str"/>
      <x:c r="O48" s="49" t="str"/>
      <x:c r="P48" s="49" t="str"/>
    </x:row>
    <x:row r="49">
      <x:c r="A49" s="49" t="str">
        <x:v>Q-045</x:v>
      </x:c>
      <x:c r="B49" s="49" t="str">
        <x:v>02_本人関係・コンフリ・トリアージ</x:v>
      </x:c>
      <x:c r="C49" s="49" t="str">
        <x:v>WF-02〜WF-04</x:v>
      </x:c>
      <x:c r="D49" s="49" t="str">
        <x:v>実態/証跡</x:v>
      </x:c>
      <x:c r="E49" s="49" t="str">
        <x:v>同意・waiverにより受任できる場合、その文書・承認・範囲をどう記録しますか。</x:v>
      </x:c>
      <x:c r="F49" s="49" t="str">
        <x:v>受任前の重大リスクと判断証跡を一意にするため</x:v>
      </x:c>
      <x:c r="G49" s="49" t="str">
        <x:v>Yes/No＋条件・例外</x:v>
      </x:c>
      <x:c r="H49" s="49" t="str">
        <x:v>SF StageNameにコンフリチェック中、失注理由、関係者オブジェクト</x:v>
      </x:c>
      <x:c r="I49" s="49" t="str">
        <x:v>担当弁護士、事務局、過去コンフリ例、SF/Box/Gmail</x:v>
      </x:c>
      <x:c r="J49" s="49" t="str">
        <x:v>全弁護士＋中森</x:v>
      </x:c>
      <x:c r="K49" s="49" t="str">
        <x:v>P2</x:v>
      </x:c>
      <x:c r="L49" s="49" t="str">
        <x:v>一部可</x:v>
      </x:c>
      <x:c r="M49" s="49" t="str">
        <x:v>未回答</x:v>
      </x:c>
      <x:c r="N49" s="49" t="str"/>
      <x:c r="O49" s="49" t="str"/>
      <x:c r="P49" s="49" t="str"/>
    </x:row>
    <x:row r="50">
      <x:c r="A50" s="49" t="str">
        <x:v>Q-046</x:v>
      </x:c>
      <x:c r="B50" s="49" t="str">
        <x:v>02_本人関係・コンフリ・トリアージ</x:v>
      </x:c>
      <x:c r="C50" s="49" t="str">
        <x:v>WF-02〜WF-04</x:v>
      </x:c>
      <x:c r="D50" s="49" t="str">
        <x:v>実態/証跡</x:v>
      </x:c>
      <x:c r="E50" s="49" t="str">
        <x:v>コンフリ完了前に資料を受領・保存してよい範囲はどこまでですか。</x:v>
      </x:c>
      <x:c r="F50" s="49" t="str">
        <x:v>受任前の重大リスクと判断証跡を一意にするため</x:v>
      </x:c>
      <x:c r="G50" s="49" t="str">
        <x:v>Yes/No＋条件・例外</x:v>
      </x:c>
      <x:c r="H50" s="49" t="str">
        <x:v>SF StageNameにコンフリチェック中、失注理由、関係者オブジェクト</x:v>
      </x:c>
      <x:c r="I50" s="49" t="str">
        <x:v>担当弁護士、事務局、過去コンフリ例、SF/Box/Gmail</x:v>
      </x:c>
      <x:c r="J50" s="49" t="str">
        <x:v>全弁護士＋中森</x:v>
      </x:c>
      <x:c r="K50" s="49" t="str">
        <x:v>P0</x:v>
      </x:c>
      <x:c r="L50" s="49" t="str">
        <x:v>一部可</x:v>
      </x:c>
      <x:c r="M50" s="49" t="str">
        <x:v>未回答</x:v>
      </x:c>
      <x:c r="N50" s="49" t="str"/>
      <x:c r="O50" s="49" t="str"/>
      <x:c r="P50" s="49" t="str"/>
    </x:row>
    <x:row r="51">
      <x:c r="A51" s="49" t="str">
        <x:v>Q-047</x:v>
      </x:c>
      <x:c r="B51" s="49" t="str">
        <x:v>02_本人関係・コンフリ・トリアージ</x:v>
      </x:c>
      <x:c r="C51" s="49" t="str">
        <x:v>WF-02〜WF-04</x:v>
      </x:c>
      <x:c r="D51" s="49" t="str">
        <x:v>実態/証跡</x:v>
      </x:c>
      <x:c r="E51" s="49" t="str">
        <x:v>緊急期限がある場合、通常順序を飛ばす例外手順はありますか。</x:v>
      </x:c>
      <x:c r="F51" s="49" t="str">
        <x:v>受任前の重大リスクと判断証跡を一意にするため</x:v>
      </x:c>
      <x:c r="G51" s="49" t="str">
        <x:v>Yes/No＋条件・例外</x:v>
      </x:c>
      <x:c r="H51" s="49" t="str">
        <x:v>SF StageNameにコンフリチェック中、失注理由、関係者オブジェクト</x:v>
      </x:c>
      <x:c r="I51" s="49" t="str">
        <x:v>担当弁護士、事務局、過去コンフリ例、SF/Box/Gmail</x:v>
      </x:c>
      <x:c r="J51" s="49" t="str">
        <x:v>全弁護士＋中森</x:v>
      </x:c>
      <x:c r="K51" s="49" t="str">
        <x:v>P0</x:v>
      </x:c>
      <x:c r="L51" s="49" t="str">
        <x:v>一部可</x:v>
      </x:c>
      <x:c r="M51" s="49" t="str">
        <x:v>未回答</x:v>
      </x:c>
      <x:c r="N51" s="49" t="str"/>
      <x:c r="O51" s="49" t="str"/>
      <x:c r="P51" s="49" t="str"/>
    </x:row>
    <x:row r="52">
      <x:c r="A52" s="49" t="str">
        <x:v>Q-048</x:v>
      </x:c>
      <x:c r="B52" s="49" t="str">
        <x:v>02_本人関係・コンフリ・トリアージ</x:v>
      </x:c>
      <x:c r="C52" s="49" t="str">
        <x:v>WF-02〜WF-04</x:v>
      </x:c>
      <x:c r="D52" s="49" t="str">
        <x:v>実態/証跡</x:v>
      </x:c>
      <x:c r="E52" s="49" t="str">
        <x:v>受任後に新しい関係者が判明したとき、再チェックを自動発火させますか。</x:v>
      </x:c>
      <x:c r="F52" s="49" t="str">
        <x:v>受任前の重大リスクと判断証跡を一意にするため</x:v>
      </x:c>
      <x:c r="G52" s="49" t="str">
        <x:v>Yes/No＋条件・例外</x:v>
      </x:c>
      <x:c r="H52" s="49" t="str">
        <x:v>SF StageNameにコンフリチェック中、失注理由、関係者オブジェクト</x:v>
      </x:c>
      <x:c r="I52" s="49" t="str">
        <x:v>担当弁護士、事務局、過去コンフリ例、SF/Box/Gmail</x:v>
      </x:c>
      <x:c r="J52" s="49" t="str">
        <x:v>全弁護士＋中森</x:v>
      </x:c>
      <x:c r="K52" s="49" t="str">
        <x:v>P2</x:v>
      </x:c>
      <x:c r="L52" s="49" t="str">
        <x:v>一部可</x:v>
      </x:c>
      <x:c r="M52" s="49" t="str">
        <x:v>未回答</x:v>
      </x:c>
      <x:c r="N52" s="49" t="str"/>
      <x:c r="O52" s="49" t="str"/>
      <x:c r="P52" s="49" t="str"/>
    </x:row>
    <x:row r="53">
      <x:c r="A53" s="49" t="str">
        <x:v>Q-049</x:v>
      </x:c>
      <x:c r="B53" s="49" t="str">
        <x:v>02_本人関係・コンフリ・トリアージ</x:v>
      </x:c>
      <x:c r="C53" s="49" t="str">
        <x:v>WF-02〜WF-04</x:v>
      </x:c>
      <x:c r="D53" s="49" t="str">
        <x:v>実態/証跡</x:v>
      </x:c>
      <x:c r="E53" s="49" t="str">
        <x:v>同一案件の相手方が後日顧客候補として来た場合の警告条件は何ですか。</x:v>
      </x:c>
      <x:c r="F53" s="49" t="str">
        <x:v>受任前の重大リスクと判断証跡を一意にするため</x:v>
      </x:c>
      <x:c r="G53" s="49" t="str">
        <x:v>Yes/No＋条件・例外</x:v>
      </x:c>
      <x:c r="H53" s="49" t="str">
        <x:v>SF StageNameにコンフリチェック中、失注理由、関係者オブジェクト</x:v>
      </x:c>
      <x:c r="I53" s="49" t="str">
        <x:v>担当弁護士、事務局、過去コンフリ例、SF/Box/Gmail</x:v>
      </x:c>
      <x:c r="J53" s="49" t="str">
        <x:v>全弁護士＋中森</x:v>
      </x:c>
      <x:c r="K53" s="49" t="str">
        <x:v>P2</x:v>
      </x:c>
      <x:c r="L53" s="49" t="str">
        <x:v>一部可</x:v>
      </x:c>
      <x:c r="M53" s="49" t="str">
        <x:v>未回答</x:v>
      </x:c>
      <x:c r="N53" s="49" t="str"/>
      <x:c r="O53" s="49" t="str"/>
      <x:c r="P53" s="49" t="str"/>
    </x:row>
    <x:row r="54">
      <x:c r="A54" s="49" t="str">
        <x:v>Q-050</x:v>
      </x:c>
      <x:c r="B54" s="49" t="str">
        <x:v>02_本人関係・コンフリ・トリアージ</x:v>
      </x:c>
      <x:c r="C54" s="49" t="str">
        <x:v>WF-02〜WF-04</x:v>
      </x:c>
      <x:c r="D54" s="49" t="str">
        <x:v>定義/ルール</x:v>
      </x:c>
      <x:c r="E54" s="49" t="str">
        <x:v>相談対象外の分野・地域・金額・依頼者属性等の受入基準はありますか。</x:v>
      </x:c>
      <x:c r="F54" s="49" t="str">
        <x:v>受任前の重大リスクと判断証跡を一意にするため</x:v>
      </x:c>
      <x:c r="G54" s="49" t="str">
        <x:v>Yes/No＋条件・例外</x:v>
      </x:c>
      <x:c r="H54" s="49" t="str">
        <x:v>SF StageNameにコンフリチェック中、失注理由、関係者オブジェクト</x:v>
      </x:c>
      <x:c r="I54" s="49" t="str">
        <x:v>担当弁護士、事務局、過去コンフリ例、SF/Box/Gmail</x:v>
      </x:c>
      <x:c r="J54" s="49" t="str">
        <x:v>全弁護士＋中森</x:v>
      </x:c>
      <x:c r="K54" s="49" t="str">
        <x:v>P2</x:v>
      </x:c>
      <x:c r="L54" s="49" t="str">
        <x:v>聴取必須</x:v>
      </x:c>
      <x:c r="M54" s="49" t="str">
        <x:v>未回答</x:v>
      </x:c>
      <x:c r="N54" s="49" t="str"/>
      <x:c r="O54" s="49" t="str"/>
      <x:c r="P54" s="49" t="str"/>
    </x:row>
    <x:row r="55">
      <x:c r="A55" s="49" t="str">
        <x:v>Q-051</x:v>
      </x:c>
      <x:c r="B55" s="49" t="str">
        <x:v>02_本人関係・コンフリ・トリアージ</x:v>
      </x:c>
      <x:c r="C55" s="49" t="str">
        <x:v>WF-02〜WF-04</x:v>
      </x:c>
      <x:c r="D55" s="49" t="str">
        <x:v>実態/証跡</x:v>
      </x:c>
      <x:c r="E55" s="49" t="str">
        <x:v>受任できない場合、紹介先候補と紹介記録をどこまで残しますか。</x:v>
      </x:c>
      <x:c r="F55" s="49" t="str">
        <x:v>受任前の重大リスクと判断証跡を一意にするため</x:v>
      </x:c>
      <x:c r="G55" s="49" t="str">
        <x:v>Yes/No＋条件・例外</x:v>
      </x:c>
      <x:c r="H55" s="49" t="str">
        <x:v>SF StageNameにコンフリチェック中、失注理由、関係者オブジェクト</x:v>
      </x:c>
      <x:c r="I55" s="49" t="str">
        <x:v>担当弁護士、事務局、過去コンフリ例、SF/Box/Gmail</x:v>
      </x:c>
      <x:c r="J55" s="49" t="str">
        <x:v>全弁護士＋中森</x:v>
      </x:c>
      <x:c r="K55" s="49" t="str">
        <x:v>P2</x:v>
      </x:c>
      <x:c r="L55" s="49" t="str">
        <x:v>一部可</x:v>
      </x:c>
      <x:c r="M55" s="49" t="str">
        <x:v>未回答</x:v>
      </x:c>
      <x:c r="N55" s="49" t="str"/>
      <x:c r="O55" s="49" t="str"/>
      <x:c r="P55" s="49" t="str"/>
    </x:row>
    <x:row r="56">
      <x:c r="A56" s="49" t="str">
        <x:v>Q-052</x:v>
      </x:c>
      <x:c r="B56" s="49" t="str">
        <x:v>02_本人関係・コンフリ・トリアージ</x:v>
      </x:c>
      <x:c r="C56" s="49" t="str">
        <x:v>WF-02〜WF-04</x:v>
      </x:c>
      <x:c r="D56" s="49" t="str">
        <x:v>定義/ルール</x:v>
      </x:c>
      <x:c r="E56" s="49" t="str">
        <x:v>緊急度を分類する指標と、当日/翌日/通常の処理基準は何ですか。</x:v>
      </x:c>
      <x:c r="F56" s="49" t="str">
        <x:v>受任前の重大リスクと判断証跡を一意にするため</x:v>
      </x:c>
      <x:c r="G56" s="49" t="str">
        <x:v>Yes/No＋条件・例外</x:v>
      </x:c>
      <x:c r="H56" s="49" t="str">
        <x:v>SF StageNameにコンフリチェック中、失注理由、関係者オブジェクト</x:v>
      </x:c>
      <x:c r="I56" s="49" t="str">
        <x:v>担当弁護士、事務局、過去コンフリ例、SF/Box/Gmail</x:v>
      </x:c>
      <x:c r="J56" s="49" t="str">
        <x:v>全弁護士＋中森</x:v>
      </x:c>
      <x:c r="K56" s="49" t="str">
        <x:v>P2</x:v>
      </x:c>
      <x:c r="L56" s="49" t="str">
        <x:v>聴取必須</x:v>
      </x:c>
      <x:c r="M56" s="49" t="str">
        <x:v>未回答</x:v>
      </x:c>
      <x:c r="N56" s="49" t="str"/>
      <x:c r="O56" s="49" t="str"/>
      <x:c r="P56" s="49" t="str"/>
    </x:row>
    <x:row r="57">
      <x:c r="A57" s="49" t="str">
        <x:v>Q-053</x:v>
      </x:c>
      <x:c r="B57" s="49" t="str">
        <x:v>02_本人関係・コンフリ・トリアージ</x:v>
      </x:c>
      <x:c r="C57" s="49" t="str">
        <x:v>WF-02〜WF-04</x:v>
      </x:c>
      <x:c r="D57" s="49" t="str">
        <x:v>実態/証跡</x:v>
      </x:c>
      <x:c r="E57" s="49" t="str">
        <x:v>トリアージ判断の理由を自由記述だけでなく構造化選択肢にしますか。</x:v>
      </x:c>
      <x:c r="F57" s="49" t="str">
        <x:v>受任前の重大リスクと判断証跡を一意にするため</x:v>
      </x:c>
      <x:c r="G57" s="49" t="str">
        <x:v>Yes/No＋条件・例外</x:v>
      </x:c>
      <x:c r="H57" s="49" t="str">
        <x:v>SF StageNameにコンフリチェック中、失注理由、関係者オブジェクト</x:v>
      </x:c>
      <x:c r="I57" s="49" t="str">
        <x:v>担当弁護士、事務局、過去コンフリ例、SF/Box/Gmail</x:v>
      </x:c>
      <x:c r="J57" s="49" t="str">
        <x:v>全弁護士＋中森</x:v>
      </x:c>
      <x:c r="K57" s="49" t="str">
        <x:v>P2</x:v>
      </x:c>
      <x:c r="L57" s="49" t="str">
        <x:v>一部可</x:v>
      </x:c>
      <x:c r="M57" s="49" t="str">
        <x:v>未回答</x:v>
      </x:c>
      <x:c r="N57" s="49" t="str"/>
      <x:c r="O57" s="49" t="str"/>
      <x:c r="P57" s="49" t="str"/>
    </x:row>
    <x:row r="58">
      <x:c r="A58" s="49" t="str">
        <x:v>Q-054</x:v>
      </x:c>
      <x:c r="B58" s="49" t="str">
        <x:v>03_日程調整・事前準備</x:v>
      </x:c>
      <x:c r="C58" s="49" t="str">
        <x:v>WF-05〜WF-06</x:v>
      </x:c>
      <x:c r="D58" s="49" t="str">
        <x:v>定義/ルール</x:v>
      </x:c>
      <x:c r="E58" s="49" t="str">
        <x:v>相談候補日時は誰が出し、担当弁護士の組合せはどう決めますか。</x:v>
      </x:c>
      <x:c r="F58" s="49" t="str">
        <x:v>予約・費用説明・必要資料の欠落をイベント化するため</x:v>
      </x:c>
      <x:c r="G58" s="49" t="str">
        <x:v>役割選択＋責任者</x:v>
      </x:c>
      <x:c r="H58" s="49" t="str">
        <x:v>Gmail日程調整、Google Calendar、相談票、Box共有手順</x:v>
      </x:c>
      <x:c r="I58" s="49" t="str">
        <x:v>Calendar、Gmail、相談案内テンプレ、相談票</x:v>
      </x:c>
      <x:c r="J58" s="49" t="str">
        <x:v>事務局＋各弁護士</x:v>
      </x:c>
      <x:c r="K58" s="49" t="str">
        <x:v>P1</x:v>
      </x:c>
      <x:c r="L58" s="49" t="str">
        <x:v>聴取必須</x:v>
      </x:c>
      <x:c r="M58" s="49" t="str">
        <x:v>未回答</x:v>
      </x:c>
      <x:c r="N58" s="49" t="str"/>
      <x:c r="O58" s="49" t="str"/>
      <x:c r="P58" s="49" t="str"/>
    </x:row>
    <x:row r="59">
      <x:c r="A59" s="49" t="str">
        <x:v>Q-055</x:v>
      </x:c>
      <x:c r="B59" s="49" t="str">
        <x:v>03_日程調整・事前準備</x:v>
      </x:c>
      <x:c r="C59" s="49" t="str">
        <x:v>WF-05〜WF-06</x:v>
      </x:c>
      <x:c r="D59" s="49" t="str">
        <x:v>定義/ルール</x:v>
      </x:c>
      <x:c r="E59" s="49" t="str">
        <x:v>来所・電話・Meet・Zoom・Teamsの選択基準は何ですか。</x:v>
      </x:c>
      <x:c r="F59" s="49" t="str">
        <x:v>予約・費用説明・必要資料の欠落をイベント化するため</x:v>
      </x:c>
      <x:c r="G59" s="49" t="str">
        <x:v>Yes/No＋条件・例外</x:v>
      </x:c>
      <x:c r="H59" s="49" t="str">
        <x:v>Gmail日程調整、Google Calendar、相談票、Box共有手順</x:v>
      </x:c>
      <x:c r="I59" s="49" t="str">
        <x:v>Calendar、Gmail、相談案内テンプレ、相談票</x:v>
      </x:c>
      <x:c r="J59" s="49" t="str">
        <x:v>事務局＋各弁護士</x:v>
      </x:c>
      <x:c r="K59" s="49" t="str">
        <x:v>P1</x:v>
      </x:c>
      <x:c r="L59" s="49" t="str">
        <x:v>聴取必須</x:v>
      </x:c>
      <x:c r="M59" s="49" t="str">
        <x:v>未回答</x:v>
      </x:c>
      <x:c r="N59" s="49" t="str"/>
      <x:c r="O59" s="49" t="str"/>
      <x:c r="P59" s="49" t="str"/>
    </x:row>
    <x:row r="60">
      <x:c r="A60" s="49" t="str">
        <x:v>Q-056</x:v>
      </x:c>
      <x:c r="B60" s="49" t="str">
        <x:v>03_日程調整・事前準備</x:v>
      </x:c>
      <x:c r="C60" s="49" t="str">
        <x:v>WF-05〜WF-06</x:v>
      </x:c>
      <x:c r="D60" s="49" t="str">
        <x:v>実態/証跡</x:v>
      </x:c>
      <x:c r="E60" s="49" t="str">
        <x:v>相談料、時間、延長、キャンセル条件をいつどの定型文で説明しますか。</x:v>
      </x:c>
      <x:c r="F60" s="49" t="str">
        <x:v>予約・費用説明・必要資料の欠落をイベント化するため</x:v>
      </x:c>
      <x:c r="G60" s="49" t="str">
        <x:v>条件・時点</x:v>
      </x:c>
      <x:c r="H60" s="49" t="str">
        <x:v>Gmail日程調整、Google Calendar、相談票、Box共有手順</x:v>
      </x:c>
      <x:c r="I60" s="49" t="str">
        <x:v>Calendar、Gmail、相談案内テンプレ、相談票</x:v>
      </x:c>
      <x:c r="J60" s="49" t="str">
        <x:v>事務局＋各弁護士</x:v>
      </x:c>
      <x:c r="K60" s="49" t="str">
        <x:v>P1</x:v>
      </x:c>
      <x:c r="L60" s="49" t="str">
        <x:v>一部可</x:v>
      </x:c>
      <x:c r="M60" s="49" t="str">
        <x:v>未回答</x:v>
      </x:c>
      <x:c r="N60" s="49" t="str"/>
      <x:c r="O60" s="49" t="str"/>
      <x:c r="P60" s="49" t="str"/>
    </x:row>
    <x:row r="61">
      <x:c r="A61" s="49" t="str">
        <x:v>Q-057</x:v>
      </x:c>
      <x:c r="B61" s="49" t="str">
        <x:v>03_日程調整・事前準備</x:v>
      </x:c>
      <x:c r="C61" s="49" t="str">
        <x:v>WF-05〜WF-06</x:v>
      </x:c>
      <x:c r="D61" s="49" t="str">
        <x:v>実態/証跡</x:v>
      </x:c>
      <x:c r="E61" s="49" t="str">
        <x:v>相談料への同意は返信、予約確定、当日署名のどれで証明しますか。</x:v>
      </x:c>
      <x:c r="F61" s="49" t="str">
        <x:v>予約・費用説明・必要資料の欠落をイベント化するため</x:v>
      </x:c>
      <x:c r="G61" s="49" t="str">
        <x:v>Yes/No＋条件・例外</x:v>
      </x:c>
      <x:c r="H61" s="49" t="str">
        <x:v>Gmail日程調整、Google Calendar、相談票、Box共有手順</x:v>
      </x:c>
      <x:c r="I61" s="49" t="str">
        <x:v>Calendar、Gmail、相談案内テンプレ、相談票</x:v>
      </x:c>
      <x:c r="J61" s="49" t="str">
        <x:v>事務局＋各弁護士</x:v>
      </x:c>
      <x:c r="K61" s="49" t="str">
        <x:v>P1</x:v>
      </x:c>
      <x:c r="L61" s="49" t="str">
        <x:v>一部可</x:v>
      </x:c>
      <x:c r="M61" s="49" t="str">
        <x:v>未回答</x:v>
      </x:c>
      <x:c r="N61" s="49" t="str"/>
      <x:c r="O61" s="49" t="str"/>
      <x:c r="P61" s="49" t="str"/>
    </x:row>
    <x:row r="62">
      <x:c r="A62" s="49" t="str">
        <x:v>Q-058</x:v>
      </x:c>
      <x:c r="B62" s="49" t="str">
        <x:v>03_日程調整・事前準備</x:v>
      </x:c>
      <x:c r="C62" s="49" t="str">
        <x:v>WF-05〜WF-06</x:v>
      </x:c>
      <x:c r="D62" s="49" t="str">
        <x:v>定義/ルール</x:v>
      </x:c>
      <x:c r="E62" s="49" t="str">
        <x:v>Calendar Eventを誰が作り、Salesforce相談IDをどこに埋め込みますか。</x:v>
      </x:c>
      <x:c r="F62" s="49" t="str">
        <x:v>予約・費用説明・必要資料の欠落をイベント化するため</x:v>
      </x:c>
      <x:c r="G62" s="49" t="str">
        <x:v>役割選択＋責任者</x:v>
      </x:c>
      <x:c r="H62" s="49" t="str">
        <x:v>Gmail日程調整、Google Calendar、相談票、Box共有手順</x:v>
      </x:c>
      <x:c r="I62" s="49" t="str">
        <x:v>Calendar、Gmail、相談案内テンプレ、相談票</x:v>
      </x:c>
      <x:c r="J62" s="49" t="str">
        <x:v>事務局＋各弁護士</x:v>
      </x:c>
      <x:c r="K62" s="49" t="str">
        <x:v>P1</x:v>
      </x:c>
      <x:c r="L62" s="49" t="str">
        <x:v>聴取必須</x:v>
      </x:c>
      <x:c r="M62" s="49" t="str">
        <x:v>未回答</x:v>
      </x:c>
      <x:c r="N62" s="49" t="str"/>
      <x:c r="O62" s="49" t="str"/>
      <x:c r="P62" s="49" t="str"/>
    </x:row>
    <x:row r="63">
      <x:c r="A63" s="49" t="str">
        <x:v>Q-059</x:v>
      </x:c>
      <x:c r="B63" s="49" t="str">
        <x:v>03_日程調整・事前準備</x:v>
      </x:c>
      <x:c r="C63" s="49" t="str">
        <x:v>WF-05〜WF-06</x:v>
      </x:c>
      <x:c r="D63" s="49" t="str">
        <x:v>実態/証跡</x:v>
      </x:c>
      <x:c r="E63" s="49" t="str">
        <x:v>参加予定者と実際の参加者が異なった場合、どこに記録しますか。</x:v>
      </x:c>
      <x:c r="F63" s="49" t="str">
        <x:v>予約・費用説明・必要資料の欠落をイベント化するため</x:v>
      </x:c>
      <x:c r="G63" s="49" t="str">
        <x:v>Yes/No＋条件・例外</x:v>
      </x:c>
      <x:c r="H63" s="49" t="str">
        <x:v>Gmail日程調整、Google Calendar、相談票、Box共有手順</x:v>
      </x:c>
      <x:c r="I63" s="49" t="str">
        <x:v>Calendar、Gmail、相談案内テンプレ、相談票</x:v>
      </x:c>
      <x:c r="J63" s="49" t="str">
        <x:v>事務局＋各弁護士</x:v>
      </x:c>
      <x:c r="K63" s="49" t="str">
        <x:v>P1</x:v>
      </x:c>
      <x:c r="L63" s="49" t="str">
        <x:v>一部可</x:v>
      </x:c>
      <x:c r="M63" s="49" t="str">
        <x:v>未回答</x:v>
      </x:c>
      <x:c r="N63" s="49" t="str"/>
      <x:c r="O63" s="49" t="str"/>
      <x:c r="P63" s="49" t="str"/>
    </x:row>
    <x:row r="64">
      <x:c r="A64" s="49" t="str">
        <x:v>Q-060</x:v>
      </x:c>
      <x:c r="B64" s="49" t="str">
        <x:v>03_日程調整・事前準備</x:v>
      </x:c>
      <x:c r="C64" s="49" t="str">
        <x:v>WF-05〜WF-06</x:v>
      </x:c>
      <x:c r="D64" s="49" t="str">
        <x:v>実態/証跡</x:v>
      </x:c>
      <x:c r="E64" s="49" t="str">
        <x:v>相談前に依頼する資料は分野別チェックリストがありますか。</x:v>
      </x:c>
      <x:c r="F64" s="49" t="str">
        <x:v>予約・費用説明・必要資料の欠落をイベント化するため</x:v>
      </x:c>
      <x:c r="G64" s="49" t="str">
        <x:v>Yes/No＋条件・例外</x:v>
      </x:c>
      <x:c r="H64" s="49" t="str">
        <x:v>Gmail日程調整、Google Calendar、相談票、Box共有手順</x:v>
      </x:c>
      <x:c r="I64" s="49" t="str">
        <x:v>Calendar、Gmail、相談案内テンプレ、相談票</x:v>
      </x:c>
      <x:c r="J64" s="49" t="str">
        <x:v>事務局＋各弁護士</x:v>
      </x:c>
      <x:c r="K64" s="49" t="str">
        <x:v>P1</x:v>
      </x:c>
      <x:c r="L64" s="49" t="str">
        <x:v>一部可</x:v>
      </x:c>
      <x:c r="M64" s="49" t="str">
        <x:v>未回答</x:v>
      </x:c>
      <x:c r="N64" s="49" t="str"/>
      <x:c r="O64" s="49" t="str"/>
      <x:c r="P64" s="49" t="str"/>
    </x:row>
    <x:row r="65">
      <x:c r="A65" s="49" t="str">
        <x:v>Q-061</x:v>
      </x:c>
      <x:c r="B65" s="49" t="str">
        <x:v>03_日程調整・事前準備</x:v>
      </x:c>
      <x:c r="C65" s="49" t="str">
        <x:v>WF-05〜WF-06</x:v>
      </x:c>
      <x:c r="D65" s="49" t="str">
        <x:v>実態/証跡</x:v>
      </x:c>
      <x:c r="E65" s="49" t="str">
        <x:v>顧客に資料を送ってもらう標準手段は添付、Box共有、郵送、持参のどれですか。</x:v>
      </x:c>
      <x:c r="F65" s="49" t="str">
        <x:v>予約・費用説明・必要資料の欠落をイベント化するため</x:v>
      </x:c>
      <x:c r="G65" s="49" t="str">
        <x:v>Yes/No＋条件・例外</x:v>
      </x:c>
      <x:c r="H65" s="49" t="str">
        <x:v>Gmail日程調整、Google Calendar、相談票、Box共有手順</x:v>
      </x:c>
      <x:c r="I65" s="49" t="str">
        <x:v>Calendar、Gmail、相談案内テンプレ、相談票</x:v>
      </x:c>
      <x:c r="J65" s="49" t="str">
        <x:v>事務局＋各弁護士</x:v>
      </x:c>
      <x:c r="K65" s="49" t="str">
        <x:v>P1</x:v>
      </x:c>
      <x:c r="L65" s="49" t="str">
        <x:v>一部可</x:v>
      </x:c>
      <x:c r="M65" s="49" t="str">
        <x:v>未回答</x:v>
      </x:c>
      <x:c r="N65" s="49" t="str"/>
      <x:c r="O65" s="49" t="str"/>
      <x:c r="P65" s="49" t="str"/>
    </x:row>
    <x:row r="66">
      <x:c r="A66" s="49" t="str">
        <x:v>Q-062</x:v>
      </x:c>
      <x:c r="B66" s="49" t="str">
        <x:v>03_日程調整・事前準備</x:v>
      </x:c>
      <x:c r="C66" s="49" t="str">
        <x:v>WF-05〜WF-06</x:v>
      </x:c>
      <x:c r="D66" s="49" t="str">
        <x:v>定義/ルール</x:v>
      </x:c>
      <x:c r="E66" s="49" t="str">
        <x:v>受領資料を誰がどの期限で案件候補へ紐付け、名称・文書種別を付けますか。</x:v>
      </x:c>
      <x:c r="F66" s="49" t="str">
        <x:v>予約・費用説明・必要資料の欠落をイベント化するため</x:v>
      </x:c>
      <x:c r="G66" s="49" t="str">
        <x:v>役割選択＋責任者</x:v>
      </x:c>
      <x:c r="H66" s="49" t="str">
        <x:v>Gmail日程調整、Google Calendar、相談票、Box共有手順</x:v>
      </x:c>
      <x:c r="I66" s="49" t="str">
        <x:v>Calendar、Gmail、相談案内テンプレ、相談票</x:v>
      </x:c>
      <x:c r="J66" s="49" t="str">
        <x:v>事務局＋各弁護士</x:v>
      </x:c>
      <x:c r="K66" s="49" t="str">
        <x:v>P0</x:v>
      </x:c>
      <x:c r="L66" s="49" t="str">
        <x:v>聴取必須</x:v>
      </x:c>
      <x:c r="M66" s="49" t="str">
        <x:v>未回答</x:v>
      </x:c>
      <x:c r="N66" s="49" t="str"/>
      <x:c r="O66" s="49" t="str"/>
      <x:c r="P66" s="49" t="str"/>
    </x:row>
    <x:row r="67">
      <x:c r="A67" s="49" t="str">
        <x:v>Q-063</x:v>
      </x:c>
      <x:c r="B67" s="49" t="str">
        <x:v>03_日程調整・事前準備</x:v>
      </x:c>
      <x:c r="C67" s="49" t="str">
        <x:v>WF-05〜WF-06</x:v>
      </x:c>
      <x:c r="D67" s="49" t="str">
        <x:v>定義/ルール</x:v>
      </x:c>
      <x:c r="E67" s="49" t="str">
        <x:v>資料不足は誰が判定し、何日前にリマインドしますか。</x:v>
      </x:c>
      <x:c r="F67" s="49" t="str">
        <x:v>予約・費用説明・必要資料の欠落をイベント化するため</x:v>
      </x:c>
      <x:c r="G67" s="49" t="str">
        <x:v>役割選択＋責任者</x:v>
      </x:c>
      <x:c r="H67" s="49" t="str">
        <x:v>Gmail日程調整、Google Calendar、相談票、Box共有手順</x:v>
      </x:c>
      <x:c r="I67" s="49" t="str">
        <x:v>Calendar、Gmail、相談案内テンプレ、相談票</x:v>
      </x:c>
      <x:c r="J67" s="49" t="str">
        <x:v>事務局＋各弁護士</x:v>
      </x:c>
      <x:c r="K67" s="49" t="str">
        <x:v>P2</x:v>
      </x:c>
      <x:c r="L67" s="49" t="str">
        <x:v>聴取必須</x:v>
      </x:c>
      <x:c r="M67" s="49" t="str">
        <x:v>未回答</x:v>
      </x:c>
      <x:c r="N67" s="49" t="str"/>
      <x:c r="O67" s="49" t="str"/>
      <x:c r="P67" s="49" t="str"/>
    </x:row>
    <x:row r="68">
      <x:c r="A68" s="49" t="str">
        <x:v>Q-064</x:v>
      </x:c>
      <x:c r="B68" s="49" t="str">
        <x:v>03_日程調整・事前準備</x:v>
      </x:c>
      <x:c r="C68" s="49" t="str">
        <x:v>WF-05〜WF-06</x:v>
      </x:c>
      <x:c r="D68" s="49" t="str">
        <x:v>実態/証跡</x:v>
      </x:c>
      <x:c r="E68" s="49" t="str">
        <x:v>資料が揃わなくても相談を実施する条件は何ですか。</x:v>
      </x:c>
      <x:c r="F68" s="49" t="str">
        <x:v>予約・費用説明・必要資料の欠落をイベント化するため</x:v>
      </x:c>
      <x:c r="G68" s="49" t="str">
        <x:v>Yes/No＋条件・例外</x:v>
      </x:c>
      <x:c r="H68" s="49" t="str">
        <x:v>Gmail日程調整、Google Calendar、相談票、Box共有手順</x:v>
      </x:c>
      <x:c r="I68" s="49" t="str">
        <x:v>Calendar、Gmail、相談案内テンプレ、相談票</x:v>
      </x:c>
      <x:c r="J68" s="49" t="str">
        <x:v>事務局＋各弁護士</x:v>
      </x:c>
      <x:c r="K68" s="49" t="str">
        <x:v>P2</x:v>
      </x:c>
      <x:c r="L68" s="49" t="str">
        <x:v>一部可</x:v>
      </x:c>
      <x:c r="M68" s="49" t="str">
        <x:v>未回答</x:v>
      </x:c>
      <x:c r="N68" s="49" t="str"/>
      <x:c r="O68" s="49" t="str"/>
      <x:c r="P68" s="49" t="str"/>
    </x:row>
    <x:row r="69">
      <x:c r="A69" s="49" t="str">
        <x:v>Q-065</x:v>
      </x:c>
      <x:c r="B69" s="49" t="str">
        <x:v>03_日程調整・事前準備</x:v>
      </x:c>
      <x:c r="C69" s="49" t="str">
        <x:v>WF-05〜WF-06</x:v>
      </x:c>
      <x:c r="D69" s="49" t="str">
        <x:v>実態/証跡</x:v>
      </x:c>
      <x:c r="E69" s="49" t="str">
        <x:v>日程変更・キャンセル・無断欠席をどの状態と理由で記録しますか。</x:v>
      </x:c>
      <x:c r="F69" s="49" t="str">
        <x:v>予約・費用説明・必要資料の欠落をイベント化するため</x:v>
      </x:c>
      <x:c r="G69" s="49" t="str">
        <x:v>Yes/No＋条件・例外</x:v>
      </x:c>
      <x:c r="H69" s="49" t="str">
        <x:v>Gmail日程調整、Google Calendar、相談票、Box共有手順</x:v>
      </x:c>
      <x:c r="I69" s="49" t="str">
        <x:v>Calendar、Gmail、相談案内テンプレ、相談票</x:v>
      </x:c>
      <x:c r="J69" s="49" t="str">
        <x:v>事務局＋各弁護士</x:v>
      </x:c>
      <x:c r="K69" s="49" t="str">
        <x:v>P2</x:v>
      </x:c>
      <x:c r="L69" s="49" t="str">
        <x:v>一部可</x:v>
      </x:c>
      <x:c r="M69" s="49" t="str">
        <x:v>未回答</x:v>
      </x:c>
      <x:c r="N69" s="49" t="str"/>
      <x:c r="O69" s="49" t="str"/>
      <x:c r="P69" s="49" t="str"/>
    </x:row>
    <x:row r="70">
      <x:c r="A70" s="49" t="str">
        <x:v>Q-066</x:v>
      </x:c>
      <x:c r="B70" s="49" t="str">
        <x:v>03_日程調整・事前準備</x:v>
      </x:c>
      <x:c r="C70" s="49" t="str">
        <x:v>WF-05〜WF-06</x:v>
      </x:c>
      <x:c r="D70" s="49" t="str">
        <x:v>実態/証跡</x:v>
      </x:c>
      <x:c r="E70" s="49" t="str">
        <x:v>通訳、合理的配慮、秘密保持上の会場条件をいつ確認しますか。</x:v>
      </x:c>
      <x:c r="F70" s="49" t="str">
        <x:v>予約・費用説明・必要資料の欠落をイベント化するため</x:v>
      </x:c>
      <x:c r="G70" s="49" t="str">
        <x:v>条件・時点</x:v>
      </x:c>
      <x:c r="H70" s="49" t="str">
        <x:v>Gmail日程調整、Google Calendar、相談票、Box共有手順</x:v>
      </x:c>
      <x:c r="I70" s="49" t="str">
        <x:v>Calendar、Gmail、相談案内テンプレ、相談票</x:v>
      </x:c>
      <x:c r="J70" s="49" t="str">
        <x:v>事務局＋各弁護士</x:v>
      </x:c>
      <x:c r="K70" s="49" t="str">
        <x:v>P2</x:v>
      </x:c>
      <x:c r="L70" s="49" t="str">
        <x:v>一部可</x:v>
      </x:c>
      <x:c r="M70" s="49" t="str">
        <x:v>未回答</x:v>
      </x:c>
      <x:c r="N70" s="49" t="str"/>
      <x:c r="O70" s="49" t="str"/>
      <x:c r="P70" s="49" t="str"/>
    </x:row>
    <x:row r="71">
      <x:c r="A71" s="49" t="str">
        <x:v>Q-067</x:v>
      </x:c>
      <x:c r="B71" s="49" t="str">
        <x:v>03_日程調整・事前準備</x:v>
      </x:c>
      <x:c r="C71" s="49" t="str">
        <x:v>WF-05〜WF-06</x:v>
      </x:c>
      <x:c r="D71" s="49" t="str">
        <x:v>定義/ルール</x:v>
      </x:c>
      <x:c r="E71" s="49" t="str">
        <x:v>相談前ブリーフには最低限何をまとめ、誰がレビューしますか。</x:v>
      </x:c>
      <x:c r="F71" s="49" t="str">
        <x:v>予約・費用説明・必要資料の欠落をイベント化するため</x:v>
      </x:c>
      <x:c r="G71" s="49" t="str">
        <x:v>役割選択＋責任者</x:v>
      </x:c>
      <x:c r="H71" s="49" t="str">
        <x:v>Gmail日程調整、Google Calendar、相談票、Box共有手順</x:v>
      </x:c>
      <x:c r="I71" s="49" t="str">
        <x:v>Calendar、Gmail、相談案内テンプレ、相談票</x:v>
      </x:c>
      <x:c r="J71" s="49" t="str">
        <x:v>事務局＋各弁護士</x:v>
      </x:c>
      <x:c r="K71" s="49" t="str">
        <x:v>P2</x:v>
      </x:c>
      <x:c r="L71" s="49" t="str">
        <x:v>聴取必須</x:v>
      </x:c>
      <x:c r="M71" s="49" t="str">
        <x:v>未回答</x:v>
      </x:c>
      <x:c r="N71" s="49" t="str"/>
      <x:c r="O71" s="49" t="str"/>
      <x:c r="P71" s="49" t="str"/>
    </x:row>
    <x:row r="72">
      <x:c r="A72" s="49" t="str">
        <x:v>Q-068</x:v>
      </x:c>
      <x:c r="B72" s="49" t="str">
        <x:v>03_日程調整・事前準備</x:v>
      </x:c>
      <x:c r="C72" s="49" t="str">
        <x:v>WF-05〜WF-06</x:v>
      </x:c>
      <x:c r="D72" s="49" t="str">
        <x:v>実態/証跡</x:v>
      </x:c>
      <x:c r="E72" s="49" t="str">
        <x:v>相談前に法情報調査をする場合、作業・費用・成果物をどう扱いますか。</x:v>
      </x:c>
      <x:c r="F72" s="49" t="str">
        <x:v>予約・費用説明・必要資料の欠落をイベント化するため</x:v>
      </x:c>
      <x:c r="G72" s="49" t="str">
        <x:v>Yes/No＋条件・例外</x:v>
      </x:c>
      <x:c r="H72" s="49" t="str">
        <x:v>Gmail日程調整、Google Calendar、相談票、Box共有手順</x:v>
      </x:c>
      <x:c r="I72" s="49" t="str">
        <x:v>Calendar、Gmail、相談案内テンプレ、相談票</x:v>
      </x:c>
      <x:c r="J72" s="49" t="str">
        <x:v>事務局＋各弁護士</x:v>
      </x:c>
      <x:c r="K72" s="49" t="str">
        <x:v>P2</x:v>
      </x:c>
      <x:c r="L72" s="49" t="str">
        <x:v>一部可</x:v>
      </x:c>
      <x:c r="M72" s="49" t="str">
        <x:v>未回答</x:v>
      </x:c>
      <x:c r="N72" s="49" t="str"/>
      <x:c r="O72" s="49" t="str"/>
      <x:c r="P72" s="49" t="str"/>
    </x:row>
    <x:row r="73">
      <x:c r="A73" s="49" t="str">
        <x:v>Q-069</x:v>
      </x:c>
      <x:c r="B73" s="49" t="str">
        <x:v>03_日程調整・事前準備</x:v>
      </x:c>
      <x:c r="C73" s="49" t="str">
        <x:v>WF-05〜WF-06</x:v>
      </x:c>
      <x:c r="D73" s="49" t="str">
        <x:v>実態/証跡</x:v>
      </x:c>
      <x:c r="E73" s="49" t="str">
        <x:v>相談予定日までの次行動のオーナーは誰ですか。</x:v>
      </x:c>
      <x:c r="F73" s="49" t="str">
        <x:v>予約・費用説明・必要資料の欠落をイベント化するため</x:v>
      </x:c>
      <x:c r="G73" s="49" t="str">
        <x:v>役割選択＋責任者</x:v>
      </x:c>
      <x:c r="H73" s="49" t="str">
        <x:v>Gmail日程調整、Google Calendar、相談票、Box共有手順</x:v>
      </x:c>
      <x:c r="I73" s="49" t="str">
        <x:v>Calendar、Gmail、相談案内テンプレ、相談票</x:v>
      </x:c>
      <x:c r="J73" s="49" t="str">
        <x:v>事務局＋各弁護士</x:v>
      </x:c>
      <x:c r="K73" s="49" t="str">
        <x:v>P2</x:v>
      </x:c>
      <x:c r="L73" s="49" t="str">
        <x:v>一部可</x:v>
      </x:c>
      <x:c r="M73" s="49" t="str">
        <x:v>未回答</x:v>
      </x:c>
      <x:c r="N73" s="49" t="str"/>
      <x:c r="O73" s="49" t="str"/>
      <x:c r="P73" s="49" t="str"/>
    </x:row>
    <x:row r="74">
      <x:c r="A74" s="49" t="str">
        <x:v>Q-070</x:v>
      </x:c>
      <x:c r="B74" s="49" t="str">
        <x:v>04_相談実施・相談後評価</x:v>
      </x:c>
      <x:c r="C74" s="49" t="str">
        <x:v>WF-07〜WF-08</x:v>
      </x:c>
      <x:c r="D74" s="49" t="str">
        <x:v>実態/証跡</x:v>
      </x:c>
      <x:c r="E74" s="49" t="str">
        <x:v>相談の開始・終了時刻をどのソースから確定しますか。</x:v>
      </x:c>
      <x:c r="F74" s="49" t="str">
        <x:v>相談の事実、助言、判断、次行動を分離して再利用可能にするため</x:v>
      </x:c>
      <x:c r="G74" s="49" t="str">
        <x:v>Yes/No＋条件・例外</x:v>
      </x:c>
      <x:c r="H74" s="49" t="str">
        <x:v>Notta、相談票、SF相談日/概要/確度/指示</x:v>
      </x:c>
      <x:c r="I74" s="49" t="str">
        <x:v>Notta/Meet、SF活動履歴、相談票、担当弁護士</x:v>
      </x:c>
      <x:c r="J74" s="49" t="str">
        <x:v>全弁護士</x:v>
      </x:c>
      <x:c r="K74" s="49" t="str">
        <x:v>P1</x:v>
      </x:c>
      <x:c r="L74" s="49" t="str">
        <x:v>実査可</x:v>
      </x:c>
      <x:c r="M74" s="49" t="str">
        <x:v>未回答</x:v>
      </x:c>
      <x:c r="N74" s="49" t="str"/>
      <x:c r="O74" s="49" t="str"/>
      <x:c r="P74" s="49" t="str"/>
    </x:row>
    <x:row r="75">
      <x:c r="A75" s="49" t="str">
        <x:v>Q-071</x:v>
      </x:c>
      <x:c r="B75" s="49" t="str">
        <x:v>04_相談実施・相談後評価</x:v>
      </x:c>
      <x:c r="C75" s="49" t="str">
        <x:v>WF-07〜WF-08</x:v>
      </x:c>
      <x:c r="D75" s="49" t="str">
        <x:v>実態/証跡</x:v>
      </x:c>
      <x:c r="E75" s="49" t="str">
        <x:v>同席者、役割、発言権限、秘密保持上の扱いをどのように記録しますか。</x:v>
      </x:c>
      <x:c r="F75" s="49" t="str">
        <x:v>相談の事実、助言、判断、次行動を分離して再利用可能にするため</x:v>
      </x:c>
      <x:c r="G75" s="49" t="str">
        <x:v>Yes/No＋条件・例外</x:v>
      </x:c>
      <x:c r="H75" s="49" t="str">
        <x:v>Notta、相談票、SF相談日/概要/確度/指示</x:v>
      </x:c>
      <x:c r="I75" s="49" t="str">
        <x:v>Notta/Meet、SF活動履歴、相談票、担当弁護士</x:v>
      </x:c>
      <x:c r="J75" s="49" t="str">
        <x:v>全弁護士</x:v>
      </x:c>
      <x:c r="K75" s="49" t="str">
        <x:v>P1</x:v>
      </x:c>
      <x:c r="L75" s="49" t="str">
        <x:v>一部可</x:v>
      </x:c>
      <x:c r="M75" s="49" t="str">
        <x:v>未回答</x:v>
      </x:c>
      <x:c r="N75" s="49" t="str"/>
      <x:c r="O75" s="49" t="str"/>
      <x:c r="P75" s="49" t="str"/>
    </x:row>
    <x:row r="76">
      <x:c r="A76" s="49" t="str">
        <x:v>Q-072</x:v>
      </x:c>
      <x:c r="B76" s="49" t="str">
        <x:v>04_相談実施・相談後評価</x:v>
      </x:c>
      <x:c r="C76" s="49" t="str">
        <x:v>WF-07〜WF-08</x:v>
      </x:c>
      <x:c r="D76" s="49" t="str">
        <x:v>実態/証跡</x:v>
      </x:c>
      <x:c r="E76" s="49" t="str">
        <x:v>録音・Notta・Meetメモの利用同意をどのように取得・保存しますか。</x:v>
      </x:c>
      <x:c r="F76" s="49" t="str">
        <x:v>相談の事実、助言、判断、次行動を分離して再利用可能にするため</x:v>
      </x:c>
      <x:c r="G76" s="49" t="str">
        <x:v>Yes/No＋条件・例外</x:v>
      </x:c>
      <x:c r="H76" s="49" t="str">
        <x:v>Notta、相談票、SF相談日/概要/確度/指示</x:v>
      </x:c>
      <x:c r="I76" s="49" t="str">
        <x:v>Notta/Meet、SF活動履歴、相談票、担当弁護士</x:v>
      </x:c>
      <x:c r="J76" s="49" t="str">
        <x:v>全弁護士</x:v>
      </x:c>
      <x:c r="K76" s="49" t="str">
        <x:v>P1</x:v>
      </x:c>
      <x:c r="L76" s="49" t="str">
        <x:v>一部可</x:v>
      </x:c>
      <x:c r="M76" s="49" t="str">
        <x:v>未回答</x:v>
      </x:c>
      <x:c r="N76" s="49" t="str"/>
      <x:c r="O76" s="49" t="str"/>
      <x:c r="P76" s="49" t="str"/>
    </x:row>
    <x:row r="77">
      <x:c r="A77" s="49" t="str">
        <x:v>Q-073</x:v>
      </x:c>
      <x:c r="B77" s="49" t="str">
        <x:v>04_相談実施・相談後評価</x:v>
      </x:c>
      <x:c r="C77" s="49" t="str">
        <x:v>WF-07〜WF-08</x:v>
      </x:c>
      <x:c r="D77" s="49" t="str">
        <x:v>実態/証跡</x:v>
      </x:c>
      <x:c r="E77" s="49" t="str">
        <x:v>相談記録の正本はSalesforce活動履歴、Notta、相談票、弁護士メモのどれですか。</x:v>
      </x:c>
      <x:c r="F77" s="49" t="str">
        <x:v>相談の事実、助言、判断、次行動を分離して再利用可能にするため</x:v>
      </x:c>
      <x:c r="G77" s="49" t="str">
        <x:v>Yes/No＋条件・例外</x:v>
      </x:c>
      <x:c r="H77" s="49" t="str">
        <x:v>Notta、相談票、SF相談日/概要/確度/指示</x:v>
      </x:c>
      <x:c r="I77" s="49" t="str">
        <x:v>Notta/Meet、SF活動履歴、相談票、担当弁護士</x:v>
      </x:c>
      <x:c r="J77" s="49" t="str">
        <x:v>全弁護士</x:v>
      </x:c>
      <x:c r="K77" s="49" t="str">
        <x:v>P0</x:v>
      </x:c>
      <x:c r="L77" s="49" t="str">
        <x:v>一部可</x:v>
      </x:c>
      <x:c r="M77" s="49" t="str">
        <x:v>未回答</x:v>
      </x:c>
      <x:c r="N77" s="49" t="str"/>
      <x:c r="O77" s="49" t="str"/>
      <x:c r="P77" s="49" t="str"/>
    </x:row>
    <x:row r="78">
      <x:c r="A78" s="49" t="str">
        <x:v>Q-074</x:v>
      </x:c>
      <x:c r="B78" s="49" t="str">
        <x:v>04_相談実施・相談後評価</x:v>
      </x:c>
      <x:c r="C78" s="49" t="str">
        <x:v>WF-07〜WF-08</x:v>
      </x:c>
      <x:c r="D78" s="49" t="str">
        <x:v>定義/ルール</x:v>
      </x:c>
      <x:c r="E78" s="49" t="str">
        <x:v>相談内容を、事実、依頼者の目的、争点、証拠、相手方主張、期限、制約に分けて記録しますか。</x:v>
      </x:c>
      <x:c r="F78" s="49" t="str">
        <x:v>相談の事実、助言、判断、次行動を分離して再利用可能にするため</x:v>
      </x:c>
      <x:c r="G78" s="49" t="str">
        <x:v>Yes/No＋条件・例外</x:v>
      </x:c>
      <x:c r="H78" s="49" t="str">
        <x:v>Notta、相談票、SF相談日/概要/確度/指示</x:v>
      </x:c>
      <x:c r="I78" s="49" t="str">
        <x:v>Notta/Meet、SF活動履歴、相談票、担当弁護士</x:v>
      </x:c>
      <x:c r="J78" s="49" t="str">
        <x:v>全弁護士</x:v>
      </x:c>
      <x:c r="K78" s="49" t="str">
        <x:v>P0</x:v>
      </x:c>
      <x:c r="L78" s="49" t="str">
        <x:v>聴取必須</x:v>
      </x:c>
      <x:c r="M78" s="49" t="str">
        <x:v>未回答</x:v>
      </x:c>
      <x:c r="N78" s="49" t="str"/>
      <x:c r="O78" s="49" t="str"/>
      <x:c r="P78" s="49" t="str"/>
    </x:row>
    <x:row r="79">
      <x:c r="A79" s="49" t="str">
        <x:v>Q-075</x:v>
      </x:c>
      <x:c r="B79" s="49" t="str">
        <x:v>04_相談実施・相談後評価</x:v>
      </x:c>
      <x:c r="C79" s="49" t="str">
        <x:v>WF-07〜WF-08</x:v>
      </x:c>
      <x:c r="D79" s="49" t="str">
        <x:v>定義/ルール</x:v>
      </x:c>
      <x:c r="E79" s="49" t="str">
        <x:v>依頼者の最終目的と、弁護士が提案する現実的目標を別々に保持しますか。</x:v>
      </x:c>
      <x:c r="F79" s="49" t="str">
        <x:v>相談の事実、助言、判断、次行動を分離して再利用可能にするため</x:v>
      </x:c>
      <x:c r="G79" s="49" t="str">
        <x:v>Yes/No＋条件・例外</x:v>
      </x:c>
      <x:c r="H79" s="49" t="str">
        <x:v>Notta、相談票、SF相談日/概要/確度/指示</x:v>
      </x:c>
      <x:c r="I79" s="49" t="str">
        <x:v>Notta/Meet、SF活動履歴、相談票、担当弁護士</x:v>
      </x:c>
      <x:c r="J79" s="49" t="str">
        <x:v>全弁護士</x:v>
      </x:c>
      <x:c r="K79" s="49" t="str">
        <x:v>P1</x:v>
      </x:c>
      <x:c r="L79" s="49" t="str">
        <x:v>聴取必須</x:v>
      </x:c>
      <x:c r="M79" s="49" t="str">
        <x:v>未回答</x:v>
      </x:c>
      <x:c r="N79" s="49" t="str"/>
      <x:c r="O79" s="49" t="str"/>
      <x:c r="P79" s="49" t="str"/>
    </x:row>
    <x:row r="80">
      <x:c r="A80" s="49" t="str">
        <x:v>Q-076</x:v>
      </x:c>
      <x:c r="B80" s="49" t="str">
        <x:v>04_相談実施・相談後評価</x:v>
      </x:c>
      <x:c r="C80" s="49" t="str">
        <x:v>WF-07〜WF-08</x:v>
      </x:c>
      <x:c r="D80" s="49" t="str">
        <x:v>実態/証跡</x:v>
      </x:c>
      <x:c r="E80" s="49" t="str">
        <x:v>助言内容、選択肢、リスク、未確認事項をどの粒度で残しますか。</x:v>
      </x:c>
      <x:c r="F80" s="49" t="str">
        <x:v>相談の事実、助言、判断、次行動を分離して再利用可能にするため</x:v>
      </x:c>
      <x:c r="G80" s="49" t="str">
        <x:v>Yes/No＋条件・例外</x:v>
      </x:c>
      <x:c r="H80" s="49" t="str">
        <x:v>Notta、相談票、SF相談日/概要/確度/指示</x:v>
      </x:c>
      <x:c r="I80" s="49" t="str">
        <x:v>Notta/Meet、SF活動履歴、相談票、担当弁護士</x:v>
      </x:c>
      <x:c r="J80" s="49" t="str">
        <x:v>全弁護士</x:v>
      </x:c>
      <x:c r="K80" s="49" t="str">
        <x:v>P1</x:v>
      </x:c>
      <x:c r="L80" s="49" t="str">
        <x:v>一部可</x:v>
      </x:c>
      <x:c r="M80" s="49" t="str">
        <x:v>未回答</x:v>
      </x:c>
      <x:c r="N80" s="49" t="str"/>
      <x:c r="O80" s="49" t="str"/>
      <x:c r="P80" s="49" t="str"/>
    </x:row>
    <x:row r="81">
      <x:c r="A81" s="49" t="str">
        <x:v>Q-077</x:v>
      </x:c>
      <x:c r="B81" s="49" t="str">
        <x:v>04_相談実施・相談後評価</x:v>
      </x:c>
      <x:c r="C81" s="49" t="str">
        <x:v>WF-07〜WF-08</x:v>
      </x:c>
      <x:c r="D81" s="49" t="str">
        <x:v>実態/証跡</x:v>
      </x:c>
      <x:c r="E81" s="49" t="str">
        <x:v>相談中に示した暫定見解と、後日調査後の確定見解を区別しますか。</x:v>
      </x:c>
      <x:c r="F81" s="49" t="str">
        <x:v>相談の事実、助言、判断、次行動を分離して再利用可能にするため</x:v>
      </x:c>
      <x:c r="G81" s="49" t="str">
        <x:v>Yes/No＋条件・例外</x:v>
      </x:c>
      <x:c r="H81" s="49" t="str">
        <x:v>Notta、相談票、SF相談日/概要/確度/指示</x:v>
      </x:c>
      <x:c r="I81" s="49" t="str">
        <x:v>Notta/Meet、SF活動履歴、相談票、担当弁護士</x:v>
      </x:c>
      <x:c r="J81" s="49" t="str">
        <x:v>全弁護士</x:v>
      </x:c>
      <x:c r="K81" s="49" t="str">
        <x:v>P1</x:v>
      </x:c>
      <x:c r="L81" s="49" t="str">
        <x:v>一部可</x:v>
      </x:c>
      <x:c r="M81" s="49" t="str">
        <x:v>未回答</x:v>
      </x:c>
      <x:c r="N81" s="49" t="str"/>
      <x:c r="O81" s="49" t="str"/>
      <x:c r="P81" s="49" t="str"/>
    </x:row>
    <x:row r="82">
      <x:c r="A82" s="49" t="str">
        <x:v>Q-078</x:v>
      </x:c>
      <x:c r="B82" s="49" t="str">
        <x:v>04_相談実施・相談後評価</x:v>
      </x:c>
      <x:c r="C82" s="49" t="str">
        <x:v>WF-07〜WF-08</x:v>
      </x:c>
      <x:c r="D82" s="49" t="str">
        <x:v>実態/証跡</x:v>
      </x:c>
      <x:c r="E82" s="49" t="str">
        <x:v>相談中に追加資料を依頼した場合、資料ごとに期限・担当・受領状態を作りますか。</x:v>
      </x:c>
      <x:c r="F82" s="49" t="str">
        <x:v>相談の事実、助言、判断、次行動を分離して再利用可能にするため</x:v>
      </x:c>
      <x:c r="G82" s="49" t="str">
        <x:v>Yes/No＋条件・例外</x:v>
      </x:c>
      <x:c r="H82" s="49" t="str">
        <x:v>Notta、相談票、SF相談日/概要/確度/指示</x:v>
      </x:c>
      <x:c r="I82" s="49" t="str">
        <x:v>Notta/Meet、SF活動履歴、相談票、担当弁護士</x:v>
      </x:c>
      <x:c r="J82" s="49" t="str">
        <x:v>全弁護士</x:v>
      </x:c>
      <x:c r="K82" s="49" t="str">
        <x:v>P0</x:v>
      </x:c>
      <x:c r="L82" s="49" t="str">
        <x:v>一部可</x:v>
      </x:c>
      <x:c r="M82" s="49" t="str">
        <x:v>未回答</x:v>
      </x:c>
      <x:c r="N82" s="49" t="str"/>
      <x:c r="O82" s="49" t="str"/>
      <x:c r="P82" s="49" t="str"/>
    </x:row>
    <x:row r="83">
      <x:c r="A83" s="49" t="str">
        <x:v>Q-079</x:v>
      </x:c>
      <x:c r="B83" s="49" t="str">
        <x:v>04_相談実施・相談後評価</x:v>
      </x:c>
      <x:c r="C83" s="49" t="str">
        <x:v>WF-07〜WF-08</x:v>
      </x:c>
      <x:c r="D83" s="49" t="str">
        <x:v>実態/証跡</x:v>
      </x:c>
      <x:c r="E83" s="49" t="str">
        <x:v>相談後の追加質問を無料相談の延長、別相談、受任前作業のどれと扱いますか。</x:v>
      </x:c>
      <x:c r="F83" s="49" t="str">
        <x:v>相談の事実、助言、判断、次行動を分離して再利用可能にするため</x:v>
      </x:c>
      <x:c r="G83" s="49" t="str">
        <x:v>Yes/No＋条件・例外</x:v>
      </x:c>
      <x:c r="H83" s="49" t="str">
        <x:v>Notta、相談票、SF相談日/概要/確度/指示</x:v>
      </x:c>
      <x:c r="I83" s="49" t="str">
        <x:v>Notta/Meet、SF活動履歴、相談票、担当弁護士</x:v>
      </x:c>
      <x:c r="J83" s="49" t="str">
        <x:v>全弁護士</x:v>
      </x:c>
      <x:c r="K83" s="49" t="str">
        <x:v>P2</x:v>
      </x:c>
      <x:c r="L83" s="49" t="str">
        <x:v>一部可</x:v>
      </x:c>
      <x:c r="M83" s="49" t="str">
        <x:v>未回答</x:v>
      </x:c>
      <x:c r="N83" s="49" t="str"/>
      <x:c r="O83" s="49" t="str"/>
      <x:c r="P83" s="49" t="str"/>
    </x:row>
    <x:row r="84">
      <x:c r="A84" s="49" t="str">
        <x:v>Q-080</x:v>
      </x:c>
      <x:c r="B84" s="49" t="str">
        <x:v>04_相談実施・相談後評価</x:v>
      </x:c>
      <x:c r="C84" s="49" t="str">
        <x:v>WF-07〜WF-08</x:v>
      </x:c>
      <x:c r="D84" s="49" t="str">
        <x:v>定義/ルール</x:v>
      </x:c>
      <x:c r="E84" s="49" t="str">
        <x:v>相談のみで終了、相談継続、受任提案、他機関紹介、非受任を誰が確定しますか。</x:v>
      </x:c>
      <x:c r="F84" s="49" t="str">
        <x:v>相談の事実、助言、判断、次行動を分離して再利用可能にするため</x:v>
      </x:c>
      <x:c r="G84" s="49" t="str">
        <x:v>役割選択＋責任者</x:v>
      </x:c>
      <x:c r="H84" s="49" t="str">
        <x:v>Notta、相談票、SF相談日/概要/確度/指示</x:v>
      </x:c>
      <x:c r="I84" s="49" t="str">
        <x:v>Notta/Meet、SF活動履歴、相談票、担当弁護士</x:v>
      </x:c>
      <x:c r="J84" s="49" t="str">
        <x:v>全弁護士</x:v>
      </x:c>
      <x:c r="K84" s="49" t="str">
        <x:v>P2</x:v>
      </x:c>
      <x:c r="L84" s="49" t="str">
        <x:v>聴取必須</x:v>
      </x:c>
      <x:c r="M84" s="49" t="str">
        <x:v>未回答</x:v>
      </x:c>
      <x:c r="N84" s="49" t="str"/>
      <x:c r="O84" s="49" t="str"/>
      <x:c r="P84" s="49" t="str"/>
    </x:row>
    <x:row r="85">
      <x:c r="A85" s="49" t="str">
        <x:v>Q-081</x:v>
      </x:c>
      <x:c r="B85" s="49" t="str">
        <x:v>04_相談実施・相談後評価</x:v>
      </x:c>
      <x:c r="C85" s="49" t="str">
        <x:v>WF-07〜WF-08</x:v>
      </x:c>
      <x:c r="D85" s="49" t="str">
        <x:v>定義/ルール</x:v>
      </x:c>
      <x:c r="E85" s="49" t="str">
        <x:v>受任確度は誰が何を根拠に何％で入れますか。主観値を残す意味はありますか。</x:v>
      </x:c>
      <x:c r="F85" s="49" t="str">
        <x:v>相談の事実、助言、判断、次行動を分離して再利用可能にするため</x:v>
      </x:c>
      <x:c r="G85" s="49" t="str">
        <x:v>役割選択＋責任者</x:v>
      </x:c>
      <x:c r="H85" s="49" t="str">
        <x:v>Notta、相談票、SF相談日/概要/確度/指示</x:v>
      </x:c>
      <x:c r="I85" s="49" t="str">
        <x:v>Notta/Meet、SF活動履歴、相談票、担当弁護士</x:v>
      </x:c>
      <x:c r="J85" s="49" t="str">
        <x:v>全弁護士</x:v>
      </x:c>
      <x:c r="K85" s="49" t="str">
        <x:v>P2</x:v>
      </x:c>
      <x:c r="L85" s="49" t="str">
        <x:v>聴取必須</x:v>
      </x:c>
      <x:c r="M85" s="49" t="str">
        <x:v>未回答</x:v>
      </x:c>
      <x:c r="N85" s="49" t="str"/>
      <x:c r="O85" s="49" t="str"/>
      <x:c r="P85" s="49" t="str"/>
    </x:row>
    <x:row r="86">
      <x:c r="A86" s="49" t="str">
        <x:v>Q-082</x:v>
      </x:c>
      <x:c r="B86" s="49" t="str">
        <x:v>04_相談実施・相談後評価</x:v>
      </x:c>
      <x:c r="C86" s="49" t="str">
        <x:v>WF-07〜WF-08</x:v>
      </x:c>
      <x:c r="D86" s="49" t="str">
        <x:v>実態/証跡</x:v>
      </x:c>
      <x:c r="E86" s="49" t="str">
        <x:v>相談料の請求額・免除・入金をどの時点で確定しますか。</x:v>
      </x:c>
      <x:c r="F86" s="49" t="str">
        <x:v>相談の事実、助言、判断、次行動を分離して再利用可能にするため</x:v>
      </x:c>
      <x:c r="G86" s="49" t="str">
        <x:v>条件・時点</x:v>
      </x:c>
      <x:c r="H86" s="49" t="str">
        <x:v>Notta、相談票、SF相談日/概要/確度/指示</x:v>
      </x:c>
      <x:c r="I86" s="49" t="str">
        <x:v>Notta/Meet、SF活動履歴、相談票、担当弁護士</x:v>
      </x:c>
      <x:c r="J86" s="49" t="str">
        <x:v>全弁護士</x:v>
      </x:c>
      <x:c r="K86" s="49" t="str">
        <x:v>P2</x:v>
      </x:c>
      <x:c r="L86" s="49" t="str">
        <x:v>実査可</x:v>
      </x:c>
      <x:c r="M86" s="49" t="str">
        <x:v>未回答</x:v>
      </x:c>
      <x:c r="N86" s="49" t="str"/>
      <x:c r="O86" s="49" t="str"/>
      <x:c r="P86" s="49" t="str"/>
    </x:row>
    <x:row r="87">
      <x:c r="A87" s="49" t="str">
        <x:v>Q-083</x:v>
      </x:c>
      <x:c r="B87" s="49" t="str">
        <x:v>04_相談実施・相談後評価</x:v>
      </x:c>
      <x:c r="C87" s="49" t="str">
        <x:v>WF-07〜WF-08</x:v>
      </x:c>
      <x:c r="D87" s="49" t="str">
        <x:v>実態/証跡</x:v>
      </x:c>
      <x:c r="E87" s="49" t="str">
        <x:v>相談後何時間以内に要約・次行動・待ち先をSalesforceへ反映しますか。</x:v>
      </x:c>
      <x:c r="F87" s="49" t="str">
        <x:v>相談の事実、助言、判断、次行動を分離して再利用可能にするため</x:v>
      </x:c>
      <x:c r="G87" s="49" t="str">
        <x:v>数値＋単位</x:v>
      </x:c>
      <x:c r="H87" s="49" t="str">
        <x:v>Notta、相談票、SF相談日/概要/確度/指示</x:v>
      </x:c>
      <x:c r="I87" s="49" t="str">
        <x:v>Notta/Meet、SF活動履歴、相談票、担当弁護士</x:v>
      </x:c>
      <x:c r="J87" s="49" t="str">
        <x:v>全弁護士</x:v>
      </x:c>
      <x:c r="K87" s="49" t="str">
        <x:v>P2</x:v>
      </x:c>
      <x:c r="L87" s="49" t="str">
        <x:v>一部可</x:v>
      </x:c>
      <x:c r="M87" s="49" t="str">
        <x:v>未回答</x:v>
      </x:c>
      <x:c r="N87" s="49" t="str"/>
      <x:c r="O87" s="49" t="str"/>
      <x:c r="P87" s="49" t="str"/>
    </x:row>
    <x:row r="88">
      <x:c r="A88" s="49" t="str">
        <x:v>Q-084</x:v>
      </x:c>
      <x:c r="B88" s="49" t="str">
        <x:v>04_相談実施・相談後評価</x:v>
      </x:c>
      <x:c r="C88" s="49" t="str">
        <x:v>WF-07〜WF-08</x:v>
      </x:c>
      <x:c r="D88" s="49" t="str">
        <x:v>実態/証跡</x:v>
      </x:c>
      <x:c r="E88" s="49" t="str">
        <x:v>相談の質を後から評価する指標や、説明漏れチェックは必要ですか。</x:v>
      </x:c>
      <x:c r="F88" s="49" t="str">
        <x:v>相談の事実、助言、判断、次行動を分離して再利用可能にするため</x:v>
      </x:c>
      <x:c r="G88" s="49" t="str">
        <x:v>Yes/No＋条件・例外</x:v>
      </x:c>
      <x:c r="H88" s="49" t="str">
        <x:v>Notta、相談票、SF相談日/概要/確度/指示</x:v>
      </x:c>
      <x:c r="I88" s="49" t="str">
        <x:v>Notta/Meet、SF活動履歴、相談票、担当弁護士</x:v>
      </x:c>
      <x:c r="J88" s="49" t="str">
        <x:v>全弁護士</x:v>
      </x:c>
      <x:c r="K88" s="49" t="str">
        <x:v>P2</x:v>
      </x:c>
      <x:c r="L88" s="49" t="str">
        <x:v>一部可</x:v>
      </x:c>
      <x:c r="M88" s="49" t="str">
        <x:v>未回答</x:v>
      </x:c>
      <x:c r="N88" s="49" t="str"/>
      <x:c r="O88" s="49" t="str"/>
      <x:c r="P88" s="49" t="str"/>
    </x:row>
    <x:row r="89">
      <x:c r="A89" s="49" t="str">
        <x:v>Q-085</x:v>
      </x:c>
      <x:c r="B89" s="49" t="str">
        <x:v>04_相談実施・相談後評価</x:v>
      </x:c>
      <x:c r="C89" s="49" t="str">
        <x:v>WF-07〜WF-08</x:v>
      </x:c>
      <x:c r="D89" s="49" t="str">
        <x:v>実態/証跡</x:v>
      </x:c>
      <x:c r="E89" s="49" t="str">
        <x:v>二回目相談が必要な条件と、同一相談レコードでの管理方法は何ですか。</x:v>
      </x:c>
      <x:c r="F89" s="49" t="str">
        <x:v>相談の事実、助言、判断、次行動を分離して再利用可能にするため</x:v>
      </x:c>
      <x:c r="G89" s="49" t="str">
        <x:v>Yes/No＋条件・例外</x:v>
      </x:c>
      <x:c r="H89" s="49" t="str">
        <x:v>Notta、相談票、SF相談日/概要/確度/指示</x:v>
      </x:c>
      <x:c r="I89" s="49" t="str">
        <x:v>Notta/Meet、SF活動履歴、相談票、担当弁護士</x:v>
      </x:c>
      <x:c r="J89" s="49" t="str">
        <x:v>全弁護士</x:v>
      </x:c>
      <x:c r="K89" s="49" t="str">
        <x:v>P2</x:v>
      </x:c>
      <x:c r="L89" s="49" t="str">
        <x:v>一部可</x:v>
      </x:c>
      <x:c r="M89" s="49" t="str">
        <x:v>未回答</x:v>
      </x:c>
      <x:c r="N89" s="49" t="str"/>
      <x:c r="O89" s="49" t="str"/>
      <x:c r="P89" s="49" t="str"/>
    </x:row>
    <x:row r="90">
      <x:c r="A90" s="49" t="str">
        <x:v>Q-086</x:v>
      </x:c>
      <x:c r="B90" s="49" t="str">
        <x:v>04_相談実施・相談後評価</x:v>
      </x:c>
      <x:c r="C90" s="49" t="str">
        <x:v>WF-07〜WF-08</x:v>
      </x:c>
      <x:c r="D90" s="49" t="str">
        <x:v>実態/証跡</x:v>
      </x:c>
      <x:c r="E90" s="49" t="str">
        <x:v>受任前でも回答期限や保全措置が必要な場合、責任範囲をどう明示しますか。</x:v>
      </x:c>
      <x:c r="F90" s="49" t="str">
        <x:v>相談の事実、助言、判断、次行動を分離して再利用可能にするため</x:v>
      </x:c>
      <x:c r="G90" s="49" t="str">
        <x:v>Yes/No＋条件・例外</x:v>
      </x:c>
      <x:c r="H90" s="49" t="str">
        <x:v>Notta、相談票、SF相談日/概要/確度/指示</x:v>
      </x:c>
      <x:c r="I90" s="49" t="str">
        <x:v>Notta/Meet、SF活動履歴、相談票、担当弁護士</x:v>
      </x:c>
      <x:c r="J90" s="49" t="str">
        <x:v>全弁護士</x:v>
      </x:c>
      <x:c r="K90" s="49" t="str">
        <x:v>P0</x:v>
      </x:c>
      <x:c r="L90" s="49" t="str">
        <x:v>一部可</x:v>
      </x:c>
      <x:c r="M90" s="49" t="str">
        <x:v>未回答</x:v>
      </x:c>
      <x:c r="N90" s="49" t="str"/>
      <x:c r="O90" s="49" t="str"/>
      <x:c r="P90" s="49" t="str"/>
    </x:row>
    <x:row r="91">
      <x:c r="A91" s="49" t="str">
        <x:v>Q-087</x:v>
      </x:c>
      <x:c r="B91" s="49" t="str">
        <x:v>04_相談実施・相談後評価</x:v>
      </x:c>
      <x:c r="C91" s="49" t="str">
        <x:v>WF-07〜WF-08</x:v>
      </x:c>
      <x:c r="D91" s="49" t="str">
        <x:v>定義/ルール</x:v>
      </x:c>
      <x:c r="E91" s="49" t="str">
        <x:v>Notta要約だけから起案しないという方針を、どのチェックで強制しますか。</x:v>
      </x:c>
      <x:c r="F91" s="49" t="str">
        <x:v>相談の事実、助言、判断、次行動を分離して再利用可能にするため</x:v>
      </x:c>
      <x:c r="G91" s="49" t="str">
        <x:v>Yes/No＋条件・例外</x:v>
      </x:c>
      <x:c r="H91" s="49" t="str">
        <x:v>Notta、相談票、SF相談日/概要/確度/指示</x:v>
      </x:c>
      <x:c r="I91" s="49" t="str">
        <x:v>Notta/Meet、SF活動履歴、相談票、担当弁護士</x:v>
      </x:c>
      <x:c r="J91" s="49" t="str">
        <x:v>全弁護士</x:v>
      </x:c>
      <x:c r="K91" s="49" t="str">
        <x:v>P2</x:v>
      </x:c>
      <x:c r="L91" s="49" t="str">
        <x:v>聴取必須</x:v>
      </x:c>
      <x:c r="M91" s="49" t="str">
        <x:v>未回答</x:v>
      </x:c>
      <x:c r="N91" s="49" t="str"/>
      <x:c r="O91" s="49" t="str"/>
      <x:c r="P91" s="49" t="str"/>
    </x:row>
    <x:row r="92">
      <x:c r="A92" s="49" t="str">
        <x:v>Q-088</x:v>
      </x:c>
      <x:c r="B92" s="49" t="str">
        <x:v>05_見積・提案・受任契約</x:v>
      </x:c>
      <x:c r="C92" s="49" t="str">
        <x:v>WF-09〜WF-12</x:v>
      </x:c>
      <x:c r="D92" s="49" t="str">
        <x:v>実態/証跡</x:v>
      </x:c>
      <x:c r="E92" s="49" t="str">
        <x:v>見積作成を開始する明確なトリガーは何ですか。</x:v>
      </x:c>
      <x:c r="F92" s="49" t="str">
        <x:v>提案版、委任範囲、成立条件、失注を追跡可能にするため</x:v>
      </x:c>
      <x:c r="G92" s="49" t="str">
        <x:v>Yes/No＋条件・例外</x:v>
      </x:c>
      <x:c r="H92" s="49" t="str">
        <x:v>見積・委任契約案・顧問契約案の送付実例、SF変換フラグ</x:v>
      </x:c>
      <x:c r="I92" s="49" t="str">
        <x:v>Box契約類、Gmailスレッド、SF変換履歴、担当弁護士/事務局</x:v>
      </x:c>
      <x:c r="J92" s="49" t="str">
        <x:v>全弁護士＋中森</x:v>
      </x:c>
      <x:c r="K92" s="49" t="str">
        <x:v>P1</x:v>
      </x:c>
      <x:c r="L92" s="49" t="str">
        <x:v>一部可</x:v>
      </x:c>
      <x:c r="M92" s="49" t="str">
        <x:v>未回答</x:v>
      </x:c>
      <x:c r="N92" s="49" t="str"/>
      <x:c r="O92" s="49" t="str"/>
      <x:c r="P92" s="49" t="str"/>
    </x:row>
    <x:row r="93">
      <x:c r="A93" s="49" t="str">
        <x:v>Q-089</x:v>
      </x:c>
      <x:c r="B93" s="49" t="str">
        <x:v>05_見積・提案・受任契約</x:v>
      </x:c>
      <x:c r="C93" s="49" t="str">
        <x:v>WF-09〜WF-12</x:v>
      </x:c>
      <x:c r="D93" s="49" t="str">
        <x:v>定義/ルール</x:v>
      </x:c>
      <x:c r="E93" s="49" t="str">
        <x:v>料金の決定者と、例外値引き・分割・成功報酬条件の承認者は誰ですか。</x:v>
      </x:c>
      <x:c r="F93" s="49" t="str">
        <x:v>提案版、委任範囲、成立条件、失注を追跡可能にするため</x:v>
      </x:c>
      <x:c r="G93" s="49" t="str">
        <x:v>役割選択＋責任者</x:v>
      </x:c>
      <x:c r="H93" s="49" t="str">
        <x:v>見積・委任契約案・顧問契約案の送付実例、SF変換フラグ</x:v>
      </x:c>
      <x:c r="I93" s="49" t="str">
        <x:v>Box契約類、Gmailスレッド、SF変換履歴、担当弁護士/事務局</x:v>
      </x:c>
      <x:c r="J93" s="49" t="str">
        <x:v>全弁護士＋中森</x:v>
      </x:c>
      <x:c r="K93" s="49" t="str">
        <x:v>P1</x:v>
      </x:c>
      <x:c r="L93" s="49" t="str">
        <x:v>聴取必須</x:v>
      </x:c>
      <x:c r="M93" s="49" t="str">
        <x:v>未回答</x:v>
      </x:c>
      <x:c r="N93" s="49" t="str"/>
      <x:c r="O93" s="49" t="str"/>
      <x:c r="P93" s="49" t="str"/>
    </x:row>
    <x:row r="94">
      <x:c r="A94" s="49" t="str">
        <x:v>Q-090</x:v>
      </x:c>
      <x:c r="B94" s="49" t="str">
        <x:v>05_見積・提案・受任契約</x:v>
      </x:c>
      <x:c r="C94" s="49" t="str">
        <x:v>WF-09〜WF-12</x:v>
      </x:c>
      <x:c r="D94" s="49" t="str">
        <x:v>実態/証跡</x:v>
      </x:c>
      <x:c r="E94" s="49" t="str">
        <x:v>見積書のテンプレートは業務類型別に何種類ありますか。</x:v>
      </x:c>
      <x:c r="F94" s="49" t="str">
        <x:v>提案版、委任範囲、成立条件、失注を追跡可能にするため</x:v>
      </x:c>
      <x:c r="G94" s="49" t="str">
        <x:v>Yes/No＋条件・例外</x:v>
      </x:c>
      <x:c r="H94" s="49" t="str">
        <x:v>見積・委任契約案・顧問契約案の送付実例、SF変換フラグ</x:v>
      </x:c>
      <x:c r="I94" s="49" t="str">
        <x:v>Box契約類、Gmailスレッド、SF変換履歴、担当弁護士/事務局</x:v>
      </x:c>
      <x:c r="J94" s="49" t="str">
        <x:v>全弁護士＋中森</x:v>
      </x:c>
      <x:c r="K94" s="49" t="str">
        <x:v>P1</x:v>
      </x:c>
      <x:c r="L94" s="49" t="str">
        <x:v>一部可</x:v>
      </x:c>
      <x:c r="M94" s="49" t="str">
        <x:v>未回答</x:v>
      </x:c>
      <x:c r="N94" s="49" t="str"/>
      <x:c r="O94" s="49" t="str"/>
      <x:c r="P94" s="49" t="str"/>
    </x:row>
    <x:row r="95">
      <x:c r="A95" s="49" t="str">
        <x:v>Q-091</x:v>
      </x:c>
      <x:c r="B95" s="49" t="str">
        <x:v>05_見積・提案・受任契約</x:v>
      </x:c>
      <x:c r="C95" s="49" t="str">
        <x:v>WF-09〜WF-12</x:v>
      </x:c>
      <x:c r="D95" s="49" t="str">
        <x:v>実態/証跡</x:v>
      </x:c>
      <x:c r="E95" s="49" t="str">
        <x:v>見積書・委任契約の版番号と修正履歴をどこで管理しますか。</x:v>
      </x:c>
      <x:c r="F95" s="49" t="str">
        <x:v>提案版、委任範囲、成立条件、失注を追跡可能にするため</x:v>
      </x:c>
      <x:c r="G95" s="49" t="str">
        <x:v>Yes/No＋条件・例外</x:v>
      </x:c>
      <x:c r="H95" s="49" t="str">
        <x:v>見積・委任契約案・顧問契約案の送付実例、SF変換フラグ</x:v>
      </x:c>
      <x:c r="I95" s="49" t="str">
        <x:v>Box契約類、Gmailスレッド、SF変換履歴、担当弁護士/事務局</x:v>
      </x:c>
      <x:c r="J95" s="49" t="str">
        <x:v>全弁護士＋中森</x:v>
      </x:c>
      <x:c r="K95" s="49" t="str">
        <x:v>P1</x:v>
      </x:c>
      <x:c r="L95" s="49" t="str">
        <x:v>一部可</x:v>
      </x:c>
      <x:c r="M95" s="49" t="str">
        <x:v>未回答</x:v>
      </x:c>
      <x:c r="N95" s="49" t="str"/>
      <x:c r="O95" s="49" t="str"/>
      <x:c r="P95" s="49" t="str"/>
    </x:row>
    <x:row r="96">
      <x:c r="A96" s="49" t="str">
        <x:v>Q-092</x:v>
      </x:c>
      <x:c r="B96" s="49" t="str">
        <x:v>05_見積・提案・受任契約</x:v>
      </x:c>
      <x:c r="C96" s="49" t="str">
        <x:v>WF-09〜WF-12</x:v>
      </x:c>
      <x:c r="D96" s="49" t="str">
        <x:v>実態/証跡</x:v>
      </x:c>
      <x:c r="E96" s="49" t="str">
        <x:v>委任範囲、除外範囲、前提条件、依頼者の協力事項をどの項目で構造化しますか。</x:v>
      </x:c>
      <x:c r="F96" s="49" t="str">
        <x:v>提案版、委任範囲、成立条件、失注を追跡可能にするため</x:v>
      </x:c>
      <x:c r="G96" s="49" t="str">
        <x:v>Yes/No＋条件・例外</x:v>
      </x:c>
      <x:c r="H96" s="49" t="str">
        <x:v>見積・委任契約案・顧問契約案の送付実例、SF変換フラグ</x:v>
      </x:c>
      <x:c r="I96" s="49" t="str">
        <x:v>Box契約類、Gmailスレッド、SF変換履歴、担当弁護士/事務局</x:v>
      </x:c>
      <x:c r="J96" s="49" t="str">
        <x:v>全弁護士＋中森</x:v>
      </x:c>
      <x:c r="K96" s="49" t="str">
        <x:v>P1</x:v>
      </x:c>
      <x:c r="L96" s="49" t="str">
        <x:v>一部可</x:v>
      </x:c>
      <x:c r="M96" s="49" t="str">
        <x:v>未回答</x:v>
      </x:c>
      <x:c r="N96" s="49" t="str"/>
      <x:c r="O96" s="49" t="str"/>
      <x:c r="P96" s="49" t="str"/>
    </x:row>
    <x:row r="97">
      <x:c r="A97" s="49" t="str">
        <x:v>Q-093</x:v>
      </x:c>
      <x:c r="B97" s="49" t="str">
        <x:v>05_見積・提案・受任契約</x:v>
      </x:c>
      <x:c r="C97" s="49" t="str">
        <x:v>WF-09〜WF-12</x:v>
      </x:c>
      <x:c r="D97" s="49" t="str">
        <x:v>実態/証跡</x:v>
      </x:c>
      <x:c r="E97" s="49" t="str">
        <x:v>着手金・報酬金・タイムチャージ・固定額・顧問料の組合せをどう表現しますか。</x:v>
      </x:c>
      <x:c r="F97" s="49" t="str">
        <x:v>提案版、委任範囲、成立条件、失注を追跡可能にするため</x:v>
      </x:c>
      <x:c r="G97" s="49" t="str">
        <x:v>Yes/No＋条件・例外</x:v>
      </x:c>
      <x:c r="H97" s="49" t="str">
        <x:v>見積・委任契約案・顧問契約案の送付実例、SF変換フラグ</x:v>
      </x:c>
      <x:c r="I97" s="49" t="str">
        <x:v>Box契約類、Gmailスレッド、SF変換履歴、担当弁護士/事務局</x:v>
      </x:c>
      <x:c r="J97" s="49" t="str">
        <x:v>全弁護士＋中森</x:v>
      </x:c>
      <x:c r="K97" s="49" t="str">
        <x:v>P1</x:v>
      </x:c>
      <x:c r="L97" s="49" t="str">
        <x:v>一部可</x:v>
      </x:c>
      <x:c r="M97" s="49" t="str">
        <x:v>未回答</x:v>
      </x:c>
      <x:c r="N97" s="49" t="str"/>
      <x:c r="O97" s="49" t="str"/>
      <x:c r="P97" s="49" t="str"/>
    </x:row>
    <x:row r="98">
      <x:c r="A98" s="49" t="str">
        <x:v>Q-094</x:v>
      </x:c>
      <x:c r="B98" s="49" t="str">
        <x:v>05_見積・提案・受任契約</x:v>
      </x:c>
      <x:c r="C98" s="49" t="str">
        <x:v>WF-09〜WF-12</x:v>
      </x:c>
      <x:c r="D98" s="49" t="str">
        <x:v>実態/証跡</x:v>
      </x:c>
      <x:c r="E98" s="49" t="str">
        <x:v>経済的利益の定義と報酬計算式を契約時に機械可読で保持しますか。</x:v>
      </x:c>
      <x:c r="F98" s="49" t="str">
        <x:v>提案版、委任範囲、成立条件、失注を追跡可能にするため</x:v>
      </x:c>
      <x:c r="G98" s="49" t="str">
        <x:v>Yes/No＋条件・例外</x:v>
      </x:c>
      <x:c r="H98" s="49" t="str">
        <x:v>見積・委任契約案・顧問契約案の送付実例、SF変換フラグ</x:v>
      </x:c>
      <x:c r="I98" s="49" t="str">
        <x:v>Box契約類、Gmailスレッド、SF変換履歴、担当弁護士/事務局</x:v>
      </x:c>
      <x:c r="J98" s="49" t="str">
        <x:v>全弁護士＋中森</x:v>
      </x:c>
      <x:c r="K98" s="49" t="str">
        <x:v>P1</x:v>
      </x:c>
      <x:c r="L98" s="49" t="str">
        <x:v>一部可</x:v>
      </x:c>
      <x:c r="M98" s="49" t="str">
        <x:v>未回答</x:v>
      </x:c>
      <x:c r="N98" s="49" t="str"/>
      <x:c r="O98" s="49" t="str"/>
      <x:c r="P98" s="49" t="str"/>
    </x:row>
    <x:row r="99">
      <x:c r="A99" s="49" t="str">
        <x:v>Q-095</x:v>
      </x:c>
      <x:c r="B99" s="49" t="str">
        <x:v>05_見積・提案・受任契約</x:v>
      </x:c>
      <x:c r="C99" s="49" t="str">
        <x:v>WF-09〜WF-12</x:v>
      </x:c>
      <x:c r="D99" s="49" t="str">
        <x:v>実態/証跡</x:v>
      </x:c>
      <x:c r="E99" s="49" t="str">
        <x:v>案件担当弁護士・担当事務員・チームを契約案の段階で確定しますか。</x:v>
      </x:c>
      <x:c r="F99" s="49" t="str">
        <x:v>提案版、委任範囲、成立条件、失注を追跡可能にするため</x:v>
      </x:c>
      <x:c r="G99" s="49" t="str">
        <x:v>Yes/No＋条件・例外</x:v>
      </x:c>
      <x:c r="H99" s="49" t="str">
        <x:v>見積・委任契約案・顧問契約案の送付実例、SF変換フラグ</x:v>
      </x:c>
      <x:c r="I99" s="49" t="str">
        <x:v>Box契約類、Gmailスレッド、SF変換履歴、担当弁護士/事務局</x:v>
      </x:c>
      <x:c r="J99" s="49" t="str">
        <x:v>全弁護士＋中森</x:v>
      </x:c>
      <x:c r="K99" s="49" t="str">
        <x:v>P1</x:v>
      </x:c>
      <x:c r="L99" s="49" t="str">
        <x:v>一部可</x:v>
      </x:c>
      <x:c r="M99" s="49" t="str">
        <x:v>未回答</x:v>
      </x:c>
      <x:c r="N99" s="49" t="str"/>
      <x:c r="O99" s="49" t="str"/>
      <x:c r="P99" s="49" t="str"/>
    </x:row>
    <x:row r="100">
      <x:c r="A100" s="49" t="str">
        <x:v>Q-096</x:v>
      </x:c>
      <x:c r="B100" s="49" t="str">
        <x:v>05_見積・提案・受任契約</x:v>
      </x:c>
      <x:c r="C100" s="49" t="str">
        <x:v>WF-09〜WF-12</x:v>
      </x:c>
      <x:c r="D100" s="49" t="str">
        <x:v>実態/証跡</x:v>
      </x:c>
      <x:c r="E100" s="49" t="str">
        <x:v>予想期間・主要マイルストーン・依頼者が準備すべき資料を提案に含めますか。</x:v>
      </x:c>
      <x:c r="F100" s="49" t="str">
        <x:v>提案版、委任範囲、成立条件、失注を追跡可能にするため</x:v>
      </x:c>
      <x:c r="G100" s="49" t="str">
        <x:v>Yes/No＋条件・例外</x:v>
      </x:c>
      <x:c r="H100" s="49" t="str">
        <x:v>見積・委任契約案・顧問契約案の送付実例、SF変換フラグ</x:v>
      </x:c>
      <x:c r="I100" s="49" t="str">
        <x:v>Box契約類、Gmailスレッド、SF変換履歴、担当弁護士/事務局</x:v>
      </x:c>
      <x:c r="J100" s="49" t="str">
        <x:v>全弁護士＋中森</x:v>
      </x:c>
      <x:c r="K100" s="49" t="str">
        <x:v>P1</x:v>
      </x:c>
      <x:c r="L100" s="49" t="str">
        <x:v>一部可</x:v>
      </x:c>
      <x:c r="M100" s="49" t="str">
        <x:v>未回答</x:v>
      </x:c>
      <x:c r="N100" s="49" t="str"/>
      <x:c r="O100" s="49" t="str"/>
      <x:c r="P100" s="49" t="str"/>
    </x:row>
    <x:row r="101">
      <x:c r="A101" s="49" t="str">
        <x:v>Q-097</x:v>
      </x:c>
      <x:c r="B101" s="49" t="str">
        <x:v>05_見積・提案・受任契約</x:v>
      </x:c>
      <x:c r="C101" s="49" t="str">
        <x:v>WF-09〜WF-12</x:v>
      </x:c>
      <x:c r="D101" s="49" t="str">
        <x:v>実態/証跡</x:v>
      </x:c>
      <x:c r="E101" s="49" t="str">
        <x:v>見積・契約案・顧問契約案など複数文書を1つのproposal packageとして識別しますか。</x:v>
      </x:c>
      <x:c r="F101" s="49" t="str">
        <x:v>提案版、委任範囲、成立条件、失注を追跡可能にするため</x:v>
      </x:c>
      <x:c r="G101" s="49" t="str">
        <x:v>Yes/No＋条件・例外</x:v>
      </x:c>
      <x:c r="H101" s="49" t="str">
        <x:v>見積・委任契約案・顧問契約案の送付実例、SF変換フラグ</x:v>
      </x:c>
      <x:c r="I101" s="49" t="str">
        <x:v>Box契約類、Gmailスレッド、SF変換履歴、担当弁護士/事務局</x:v>
      </x:c>
      <x:c r="J101" s="49" t="str">
        <x:v>全弁護士＋中森</x:v>
      </x:c>
      <x:c r="K101" s="49" t="str">
        <x:v>P1</x:v>
      </x:c>
      <x:c r="L101" s="49" t="str">
        <x:v>一部可</x:v>
      </x:c>
      <x:c r="M101" s="49" t="str">
        <x:v>未回答</x:v>
      </x:c>
      <x:c r="N101" s="49" t="str"/>
      <x:c r="O101" s="49" t="str"/>
      <x:c r="P101" s="49" t="str"/>
    </x:row>
    <x:row r="102">
      <x:c r="A102" s="49" t="str">
        <x:v>Q-098</x:v>
      </x:c>
      <x:c r="B102" s="49" t="str">
        <x:v>05_見積・提案・受任契約</x:v>
      </x:c>
      <x:c r="C102" s="49" t="str">
        <x:v>WF-09〜WF-12</x:v>
      </x:c>
      <x:c r="D102" s="49" t="str">
        <x:v>実態/証跡</x:v>
      </x:c>
      <x:c r="E102" s="49" t="str">
        <x:v>送付先、契約当事者、実際の相談担当者、支払者が異なる場合をどう表現しますか。</x:v>
      </x:c>
      <x:c r="F102" s="49" t="str">
        <x:v>提案版、委任範囲、成立条件、失注を追跡可能にするため</x:v>
      </x:c>
      <x:c r="G102" s="49" t="str">
        <x:v>Yes/No＋条件・例外</x:v>
      </x:c>
      <x:c r="H102" s="49" t="str">
        <x:v>見積・委任契約案・顧問契約案の送付実例、SF変換フラグ</x:v>
      </x:c>
      <x:c r="I102" s="49" t="str">
        <x:v>Box契約類、Gmailスレッド、SF変換履歴、担当弁護士/事務局</x:v>
      </x:c>
      <x:c r="J102" s="49" t="str">
        <x:v>全弁護士＋中森</x:v>
      </x:c>
      <x:c r="K102" s="49" t="str">
        <x:v>P0</x:v>
      </x:c>
      <x:c r="L102" s="49" t="str">
        <x:v>一部可</x:v>
      </x:c>
      <x:c r="M102" s="49" t="str">
        <x:v>未回答</x:v>
      </x:c>
      <x:c r="N102" s="49" t="str"/>
      <x:c r="O102" s="49" t="str"/>
      <x:c r="P102" s="49" t="str"/>
    </x:row>
    <x:row r="103">
      <x:c r="A103" s="49" t="str">
        <x:v>Q-099</x:v>
      </x:c>
      <x:c r="B103" s="49" t="str">
        <x:v>05_見積・提案・受任契約</x:v>
      </x:c>
      <x:c r="C103" s="49" t="str">
        <x:v>WF-09〜WF-12</x:v>
      </x:c>
      <x:c r="D103" s="49" t="str">
        <x:v>定義/ルール</x:v>
      </x:c>
      <x:c r="E103" s="49" t="str">
        <x:v>送付前の内部レビューは誰が何を確認しますか。</x:v>
      </x:c>
      <x:c r="F103" s="49" t="str">
        <x:v>提案版、委任範囲、成立条件、失注を追跡可能にするため</x:v>
      </x:c>
      <x:c r="G103" s="49" t="str">
        <x:v>役割選択＋責任者</x:v>
      </x:c>
      <x:c r="H103" s="49" t="str">
        <x:v>見積・委任契約案・顧問契約案の送付実例、SF変換フラグ</x:v>
      </x:c>
      <x:c r="I103" s="49" t="str">
        <x:v>Box契約類、Gmailスレッド、SF変換履歴、担当弁護士/事務局</x:v>
      </x:c>
      <x:c r="J103" s="49" t="str">
        <x:v>全弁護士＋中森</x:v>
      </x:c>
      <x:c r="K103" s="49" t="str">
        <x:v>P2</x:v>
      </x:c>
      <x:c r="L103" s="49" t="str">
        <x:v>聴取必須</x:v>
      </x:c>
      <x:c r="M103" s="49" t="str">
        <x:v>未回答</x:v>
      </x:c>
      <x:c r="N103" s="49" t="str"/>
      <x:c r="O103" s="49" t="str"/>
      <x:c r="P103" s="49" t="str"/>
    </x:row>
    <x:row r="104">
      <x:c r="A104" s="49" t="str">
        <x:v>Q-100</x:v>
      </x:c>
      <x:c r="B104" s="49" t="str">
        <x:v>05_見積・提案・受任契約</x:v>
      </x:c>
      <x:c r="C104" s="49" t="str">
        <x:v>WF-09〜WF-12</x:v>
      </x:c>
      <x:c r="D104" s="49" t="str">
        <x:v>実態/証跡</x:v>
      </x:c>
      <x:c r="E104" s="49" t="str">
        <x:v>送付した版をメール添付hash/Box versionで固定しますか。</x:v>
      </x:c>
      <x:c r="F104" s="49" t="str">
        <x:v>提案版、委任範囲、成立条件、失注を追跡可能にするため</x:v>
      </x:c>
      <x:c r="G104" s="49" t="str">
        <x:v>Yes/No＋条件・例外</x:v>
      </x:c>
      <x:c r="H104" s="49" t="str">
        <x:v>見積・委任契約案・顧問契約案の送付実例、SF変換フラグ</x:v>
      </x:c>
      <x:c r="I104" s="49" t="str">
        <x:v>Box契約類、Gmailスレッド、SF変換履歴、担当弁護士/事務局</x:v>
      </x:c>
      <x:c r="J104" s="49" t="str">
        <x:v>全弁護士＋中森</x:v>
      </x:c>
      <x:c r="K104" s="49" t="str">
        <x:v>P2</x:v>
      </x:c>
      <x:c r="L104" s="49" t="str">
        <x:v>一部可</x:v>
      </x:c>
      <x:c r="M104" s="49" t="str">
        <x:v>未回答</x:v>
      </x:c>
      <x:c r="N104" s="49" t="str"/>
      <x:c r="O104" s="49" t="str"/>
      <x:c r="P104" s="49" t="str"/>
    </x:row>
    <x:row r="105">
      <x:c r="A105" s="49" t="str">
        <x:v>Q-101</x:v>
      </x:c>
      <x:c r="B105" s="49" t="str">
        <x:v>05_見積・提案・受任契約</x:v>
      </x:c>
      <x:c r="C105" s="49" t="str">
        <x:v>WF-09〜WF-12</x:v>
      </x:c>
      <x:c r="D105" s="49" t="str">
        <x:v>実態/証跡</x:v>
      </x:c>
      <x:c r="E105" s="49" t="str">
        <x:v>送付後のフォロー期限を何日後に自動生成しますか。</x:v>
      </x:c>
      <x:c r="F105" s="49" t="str">
        <x:v>提案版、委任範囲、成立条件、失注を追跡可能にするため</x:v>
      </x:c>
      <x:c r="G105" s="49" t="str">
        <x:v>数値＋単位</x:v>
      </x:c>
      <x:c r="H105" s="49" t="str">
        <x:v>見積・委任契約案・顧問契約案の送付実例、SF変換フラグ</x:v>
      </x:c>
      <x:c r="I105" s="49" t="str">
        <x:v>Box契約類、Gmailスレッド、SF変換履歴、担当弁護士/事務局</x:v>
      </x:c>
      <x:c r="J105" s="49" t="str">
        <x:v>全弁護士＋中森</x:v>
      </x:c>
      <x:c r="K105" s="49" t="str">
        <x:v>P0</x:v>
      </x:c>
      <x:c r="L105" s="49" t="str">
        <x:v>一部可</x:v>
      </x:c>
      <x:c r="M105" s="49" t="str">
        <x:v>未回答</x:v>
      </x:c>
      <x:c r="N105" s="49" t="str"/>
      <x:c r="O105" s="49" t="str"/>
      <x:c r="P105" s="49" t="str"/>
    </x:row>
    <x:row r="106">
      <x:c r="A106" s="49" t="str">
        <x:v>Q-102</x:v>
      </x:c>
      <x:c r="B106" s="49" t="str">
        <x:v>05_見積・提案・受任契約</x:v>
      </x:c>
      <x:c r="C106" s="49" t="str">
        <x:v>WF-09〜WF-12</x:v>
      </x:c>
      <x:c r="D106" s="49" t="str">
        <x:v>実態/証跡</x:v>
      </x:c>
      <x:c r="E106" s="49" t="str">
        <x:v>顧客の質問・修正要求を条項・金額・範囲別に記録しますか。</x:v>
      </x:c>
      <x:c r="F106" s="49" t="str">
        <x:v>提案版、委任範囲、成立条件、失注を追跡可能にするため</x:v>
      </x:c>
      <x:c r="G106" s="49" t="str">
        <x:v>Yes/No＋条件・例外</x:v>
      </x:c>
      <x:c r="H106" s="49" t="str">
        <x:v>見積・委任契約案・顧問契約案の送付実例、SF変換フラグ</x:v>
      </x:c>
      <x:c r="I106" s="49" t="str">
        <x:v>Box契約類、Gmailスレッド、SF変換履歴、担当弁護士/事務局</x:v>
      </x:c>
      <x:c r="J106" s="49" t="str">
        <x:v>全弁護士＋中森</x:v>
      </x:c>
      <x:c r="K106" s="49" t="str">
        <x:v>P2</x:v>
      </x:c>
      <x:c r="L106" s="49" t="str">
        <x:v>一部可</x:v>
      </x:c>
      <x:c r="M106" s="49" t="str">
        <x:v>未回答</x:v>
      </x:c>
      <x:c r="N106" s="49" t="str"/>
      <x:c r="O106" s="49" t="str"/>
      <x:c r="P106" s="49" t="str"/>
    </x:row>
    <x:row r="107">
      <x:c r="A107" s="49" t="str">
        <x:v>Q-103</x:v>
      </x:c>
      <x:c r="B107" s="49" t="str">
        <x:v>05_見積・提案・受任契約</x:v>
      </x:c>
      <x:c r="C107" s="49" t="str">
        <x:v>WF-09〜WF-12</x:v>
      </x:c>
      <x:c r="D107" s="49" t="str">
        <x:v>定義/ルール</x:v>
      </x:c>
      <x:c r="E107" s="49" t="str">
        <x:v>最終面談を契約締結の必須手順にする場合としない場合の基準は何ですか。</x:v>
      </x:c>
      <x:c r="F107" s="49" t="str">
        <x:v>提案版、委任範囲、成立条件、失注を追跡可能にするため</x:v>
      </x:c>
      <x:c r="G107" s="49" t="str">
        <x:v>Yes/No＋条件・例外</x:v>
      </x:c>
      <x:c r="H107" s="49" t="str">
        <x:v>見積・委任契約案・顧問契約案の送付実例、SF変換フラグ</x:v>
      </x:c>
      <x:c r="I107" s="49" t="str">
        <x:v>Box契約類、Gmailスレッド、SF変換履歴、担当弁護士/事務局</x:v>
      </x:c>
      <x:c r="J107" s="49" t="str">
        <x:v>全弁護士＋中森</x:v>
      </x:c>
      <x:c r="K107" s="49" t="str">
        <x:v>P0</x:v>
      </x:c>
      <x:c r="L107" s="49" t="str">
        <x:v>聴取必須</x:v>
      </x:c>
      <x:c r="M107" s="49" t="str">
        <x:v>未回答</x:v>
      </x:c>
      <x:c r="N107" s="49" t="str"/>
      <x:c r="O107" s="49" t="str"/>
      <x:c r="P107" s="49" t="str"/>
    </x:row>
    <x:row r="108">
      <x:c r="A108" s="49" t="str">
        <x:v>Q-104</x:v>
      </x:c>
      <x:c r="B108" s="49" t="str">
        <x:v>05_見積・提案・受任契約</x:v>
      </x:c>
      <x:c r="C108" s="49" t="str">
        <x:v>WF-09〜WF-12</x:v>
      </x:c>
      <x:c r="D108" s="49" t="str">
        <x:v>実態/証跡</x:v>
      </x:c>
      <x:c r="E108" s="49" t="str">
        <x:v>契約成立は署名、押印、返信による承諾、着手金入金、口頭合意のどれで判定しますか。</x:v>
      </x:c>
      <x:c r="F108" s="49" t="str">
        <x:v>提案版、委任範囲、成立条件、失注を追跡可能にするため</x:v>
      </x:c>
      <x:c r="G108" s="49" t="str">
        <x:v>Yes/No＋条件・例外</x:v>
      </x:c>
      <x:c r="H108" s="49" t="str">
        <x:v>見積・委任契約案・顧問契約案の送付実例、SF変換フラグ</x:v>
      </x:c>
      <x:c r="I108" s="49" t="str">
        <x:v>Box契約類、Gmailスレッド、SF変換履歴、担当弁護士/事務局</x:v>
      </x:c>
      <x:c r="J108" s="49" t="str">
        <x:v>全弁護士＋中森</x:v>
      </x:c>
      <x:c r="K108" s="49" t="str">
        <x:v>P0</x:v>
      </x:c>
      <x:c r="L108" s="49" t="str">
        <x:v>実査可</x:v>
      </x:c>
      <x:c r="M108" s="49" t="str">
        <x:v>未回答</x:v>
      </x:c>
      <x:c r="N108" s="49" t="str"/>
      <x:c r="O108" s="49" t="str"/>
      <x:c r="P108" s="49" t="str"/>
    </x:row>
    <x:row r="109">
      <x:c r="A109" s="49" t="str">
        <x:v>Q-105</x:v>
      </x:c>
      <x:c r="B109" s="49" t="str">
        <x:v>05_見積・提案・受任契約</x:v>
      </x:c>
      <x:c r="C109" s="49" t="str">
        <x:v>WF-09〜WF-12</x:v>
      </x:c>
      <x:c r="D109" s="49" t="str">
        <x:v>実態/証跡</x:v>
      </x:c>
      <x:c r="E109" s="49" t="str">
        <x:v>署名前に緊急作業を始める場合、例外承認と責任範囲をどう残しますか。</x:v>
      </x:c>
      <x:c r="F109" s="49" t="str">
        <x:v>提案版、委任範囲、成立条件、失注を追跡可能にするため</x:v>
      </x:c>
      <x:c r="G109" s="49" t="str">
        <x:v>Yes/No＋条件・例外</x:v>
      </x:c>
      <x:c r="H109" s="49" t="str">
        <x:v>見積・委任契約案・顧問契約案の送付実例、SF変換フラグ</x:v>
      </x:c>
      <x:c r="I109" s="49" t="str">
        <x:v>Box契約類、Gmailスレッド、SF変換履歴、担当弁護士/事務局</x:v>
      </x:c>
      <x:c r="J109" s="49" t="str">
        <x:v>全弁護士＋中森</x:v>
      </x:c>
      <x:c r="K109" s="49" t="str">
        <x:v>P2</x:v>
      </x:c>
      <x:c r="L109" s="49" t="str">
        <x:v>一部可</x:v>
      </x:c>
      <x:c r="M109" s="49" t="str">
        <x:v>未回答</x:v>
      </x:c>
      <x:c r="N109" s="49" t="str"/>
      <x:c r="O109" s="49" t="str"/>
      <x:c r="P109" s="49" t="str"/>
    </x:row>
    <x:row r="110">
      <x:c r="A110" s="49" t="str">
        <x:v>Q-106</x:v>
      </x:c>
      <x:c r="B110" s="49" t="str">
        <x:v>05_見積・提案・受任契約</x:v>
      </x:c>
      <x:c r="C110" s="49" t="str">
        <x:v>WF-09〜WF-12</x:v>
      </x:c>
      <x:c r="D110" s="49" t="str">
        <x:v>定義/ルール</x:v>
      </x:c>
      <x:c r="E110" s="49" t="str">
        <x:v>相談から受任案件への変換は誰が行い、元相談とのリンクをどう検証しますか。</x:v>
      </x:c>
      <x:c r="F110" s="49" t="str">
        <x:v>提案版、委任範囲、成立条件、失注を追跡可能にするため</x:v>
      </x:c>
      <x:c r="G110" s="49" t="str">
        <x:v>役割選択＋責任者</x:v>
      </x:c>
      <x:c r="H110" s="49" t="str">
        <x:v>見積・委任契約案・顧問契約案の送付実例、SF変換フラグ</x:v>
      </x:c>
      <x:c r="I110" s="49" t="str">
        <x:v>Box契約類、Gmailスレッド、SF変換履歴、担当弁護士/事務局</x:v>
      </x:c>
      <x:c r="J110" s="49" t="str">
        <x:v>全弁護士＋中森</x:v>
      </x:c>
      <x:c r="K110" s="49" t="str">
        <x:v>P2</x:v>
      </x:c>
      <x:c r="L110" s="49" t="str">
        <x:v>聴取必須</x:v>
      </x:c>
      <x:c r="M110" s="49" t="str">
        <x:v>未回答</x:v>
      </x:c>
      <x:c r="N110" s="49" t="str"/>
      <x:c r="O110" s="49" t="str"/>
      <x:c r="P110" s="49" t="str"/>
    </x:row>
    <x:row r="111">
      <x:c r="A111" s="49" t="str">
        <x:v>Q-107</x:v>
      </x:c>
      <x:c r="B111" s="49" t="str">
        <x:v>05_見積・提案・受任契約</x:v>
      </x:c>
      <x:c r="C111" s="49" t="str">
        <x:v>WF-09〜WF-12</x:v>
      </x:c>
      <x:c r="D111" s="49" t="str">
        <x:v>実態/証跡</x:v>
      </x:c>
      <x:c r="E111" s="49" t="str">
        <x:v>受任に至らなかった理由、競合先、価格要因、連絡途絶をどこまで分析しますか。</x:v>
      </x:c>
      <x:c r="F111" s="49" t="str">
        <x:v>提案版、委任範囲、成立条件、失注を追跡可能にするため</x:v>
      </x:c>
      <x:c r="G111" s="49" t="str">
        <x:v>Yes/No＋条件・例外</x:v>
      </x:c>
      <x:c r="H111" s="49" t="str">
        <x:v>見積・委任契約案・顧問契約案の送付実例、SF変換フラグ</x:v>
      </x:c>
      <x:c r="I111" s="49" t="str">
        <x:v>Box契約類、Gmailスレッド、SF変換履歴、担当弁護士/事務局</x:v>
      </x:c>
      <x:c r="J111" s="49" t="str">
        <x:v>全弁護士＋中森</x:v>
      </x:c>
      <x:c r="K111" s="49" t="str">
        <x:v>P2</x:v>
      </x:c>
      <x:c r="L111" s="49" t="str">
        <x:v>一部可</x:v>
      </x:c>
      <x:c r="M111" s="49" t="str">
        <x:v>未回答</x:v>
      </x:c>
      <x:c r="N111" s="49" t="str"/>
      <x:c r="O111" s="49" t="str"/>
      <x:c r="P111" s="49" t="str"/>
    </x:row>
    <x:row r="112">
      <x:c r="A112" s="49" t="str">
        <x:v>Q-108</x:v>
      </x:c>
      <x:c r="B112" s="49" t="str">
        <x:v>05_見積・提案・受任契約</x:v>
      </x:c>
      <x:c r="C112" s="49" t="str">
        <x:v>WF-09〜WF-12</x:v>
      </x:c>
      <x:c r="D112" s="49" t="str">
        <x:v>実態/証跡</x:v>
      </x:c>
      <x:c r="E112" s="49" t="str">
        <x:v>失注後に再相談が来た場合、元提案・版・条件を再利用しますか。</x:v>
      </x:c>
      <x:c r="F112" s="49" t="str">
        <x:v>提案版、委任範囲、成立条件、失注を追跡可能にするため</x:v>
      </x:c>
      <x:c r="G112" s="49" t="str">
        <x:v>Yes/No＋条件・例外</x:v>
      </x:c>
      <x:c r="H112" s="49" t="str">
        <x:v>見積・委任契約案・顧問契約案の送付実例、SF変換フラグ</x:v>
      </x:c>
      <x:c r="I112" s="49" t="str">
        <x:v>Box契約類、Gmailスレッド、SF変換履歴、担当弁護士/事務局</x:v>
      </x:c>
      <x:c r="J112" s="49" t="str">
        <x:v>全弁護士＋中森</x:v>
      </x:c>
      <x:c r="K112" s="49" t="str">
        <x:v>P2</x:v>
      </x:c>
      <x:c r="L112" s="49" t="str">
        <x:v>一部可</x:v>
      </x:c>
      <x:c r="M112" s="49" t="str">
        <x:v>未回答</x:v>
      </x:c>
      <x:c r="N112" s="49" t="str"/>
      <x:c r="O112" s="49" t="str"/>
      <x:c r="P112" s="49" t="str"/>
    </x:row>
    <x:row r="113">
      <x:c r="A113" s="49" t="str">
        <x:v>Q-109</x:v>
      </x:c>
      <x:c r="B113" s="49" t="str">
        <x:v>06_料金・請求・入出金</x:v>
      </x:c>
      <x:c r="C113" s="49" t="str">
        <x:v>WF-09〜WF-22</x:v>
      </x:c>
      <x:c r="D113" s="49" t="str">
        <x:v>実態/証跡</x:v>
      </x:c>
      <x:c r="E113" s="49" t="str">
        <x:v>事務所で使う料金モデルを漏れなく列挙してください。</x:v>
      </x:c>
      <x:c r="F113" s="49" t="str">
        <x:v>依頼者・支払者・費目・入金・預り金を案件IDで貫通させるため</x:v>
      </x:c>
      <x:c r="G113" s="49" t="str">
        <x:v>複数選択＋自由記述</x:v>
      </x:c>
      <x:c r="H113" s="49" t="str">
        <x:v>MF請求書→MF会計、SF会計/請求/実費/預り金、第三者支払実例</x:v>
      </x:c>
      <x:c r="I113" s="49" t="str">
        <x:v>MF、SF会計系、請求メール、事務局長</x:v>
      </x:c>
      <x:c r="J113" s="49" t="str">
        <x:v>浅井先生＋中森</x:v>
      </x:c>
      <x:c r="K113" s="49" t="str">
        <x:v>P1</x:v>
      </x:c>
      <x:c r="L113" s="49" t="str">
        <x:v>一部可</x:v>
      </x:c>
      <x:c r="M113" s="49" t="str">
        <x:v>未回答</x:v>
      </x:c>
      <x:c r="N113" s="49" t="str"/>
      <x:c r="O113" s="49" t="str"/>
      <x:c r="P113" s="49" t="str"/>
    </x:row>
    <x:row r="114">
      <x:c r="A114" s="49" t="str">
        <x:v>Q-110</x:v>
      </x:c>
      <x:c r="B114" s="49" t="str">
        <x:v>06_料金・請求・入出金</x:v>
      </x:c>
      <x:c r="C114" s="49" t="str">
        <x:v>WF-09〜WF-22</x:v>
      </x:c>
      <x:c r="D114" s="49" t="str">
        <x:v>実態/証跡</x:v>
      </x:c>
      <x:c r="E114" s="49" t="str">
        <x:v>法律相談料の標準額・例外・無料条件・時間超過の扱いは何ですか。</x:v>
      </x:c>
      <x:c r="F114" s="49" t="str">
        <x:v>依頼者・支払者・費目・入金・預り金を案件IDで貫通させるため</x:v>
      </x:c>
      <x:c r="G114" s="49" t="str">
        <x:v>Yes/No＋条件・例外</x:v>
      </x:c>
      <x:c r="H114" s="49" t="str">
        <x:v>MF請求書→MF会計、SF会計/請求/実費/預り金、第三者支払実例</x:v>
      </x:c>
      <x:c r="I114" s="49" t="str">
        <x:v>MF、SF会計系、請求メール、事務局長</x:v>
      </x:c>
      <x:c r="J114" s="49" t="str">
        <x:v>浅井先生＋中森</x:v>
      </x:c>
      <x:c r="K114" s="49" t="str">
        <x:v>P1</x:v>
      </x:c>
      <x:c r="L114" s="49" t="str">
        <x:v>一部可</x:v>
      </x:c>
      <x:c r="M114" s="49" t="str">
        <x:v>未回答</x:v>
      </x:c>
      <x:c r="N114" s="49" t="str"/>
      <x:c r="O114" s="49" t="str"/>
      <x:c r="P114" s="49" t="str"/>
    </x:row>
    <x:row r="115">
      <x:c r="A115" s="49" t="str">
        <x:v>Q-111</x:v>
      </x:c>
      <x:c r="B115" s="49" t="str">
        <x:v>06_料金・請求・入出金</x:v>
      </x:c>
      <x:c r="C115" s="49" t="str">
        <x:v>WF-09〜WF-22</x:v>
      </x:c>
      <x:c r="D115" s="49" t="str">
        <x:v>実態/証跡</x:v>
      </x:c>
      <x:c r="E115" s="49" t="str">
        <x:v>着手金の請求トリガーは契約締結、受任決定、業務開始のどれですか。</x:v>
      </x:c>
      <x:c r="F115" s="49" t="str">
        <x:v>依頼者・支払者・費目・入金・預り金を案件IDで貫通させるため</x:v>
      </x:c>
      <x:c r="G115" s="49" t="str">
        <x:v>Yes/No＋条件・例外</x:v>
      </x:c>
      <x:c r="H115" s="49" t="str">
        <x:v>MF請求書→MF会計、SF会計/請求/実費/預り金、第三者支払実例</x:v>
      </x:c>
      <x:c r="I115" s="49" t="str">
        <x:v>MF、SF会計系、請求メール、事務局長</x:v>
      </x:c>
      <x:c r="J115" s="49" t="str">
        <x:v>浅井先生＋中森</x:v>
      </x:c>
      <x:c r="K115" s="49" t="str">
        <x:v>P1</x:v>
      </x:c>
      <x:c r="L115" s="49" t="str">
        <x:v>一部可</x:v>
      </x:c>
      <x:c r="M115" s="49" t="str">
        <x:v>未回答</x:v>
      </x:c>
      <x:c r="N115" s="49" t="str"/>
      <x:c r="O115" s="49" t="str"/>
      <x:c r="P115" s="49" t="str"/>
    </x:row>
    <x:row r="116">
      <x:c r="A116" s="49" t="str">
        <x:v>Q-112</x:v>
      </x:c>
      <x:c r="B116" s="49" t="str">
        <x:v>06_料金・請求・入出金</x:v>
      </x:c>
      <x:c r="C116" s="49" t="str">
        <x:v>WF-09〜WF-22</x:v>
      </x:c>
      <x:c r="D116" s="49" t="str">
        <x:v>実態/証跡</x:v>
      </x:c>
      <x:c r="E116" s="49" t="str">
        <x:v>報酬金の発生条件と計算基礎を案件開始時にどこまで構造化しますか。</x:v>
      </x:c>
      <x:c r="F116" s="49" t="str">
        <x:v>依頼者・支払者・費目・入金・預り金を案件IDで貫通させるため</x:v>
      </x:c>
      <x:c r="G116" s="49" t="str">
        <x:v>Yes/No＋条件・例外</x:v>
      </x:c>
      <x:c r="H116" s="49" t="str">
        <x:v>MF請求書→MF会計、SF会計/請求/実費/預り金、第三者支払実例</x:v>
      </x:c>
      <x:c r="I116" s="49" t="str">
        <x:v>MF、SF会計系、請求メール、事務局長</x:v>
      </x:c>
      <x:c r="J116" s="49" t="str">
        <x:v>浅井先生＋中森</x:v>
      </x:c>
      <x:c r="K116" s="49" t="str">
        <x:v>P1</x:v>
      </x:c>
      <x:c r="L116" s="49" t="str">
        <x:v>一部可</x:v>
      </x:c>
      <x:c r="M116" s="49" t="str">
        <x:v>未回答</x:v>
      </x:c>
      <x:c r="N116" s="49" t="str"/>
      <x:c r="O116" s="49" t="str"/>
      <x:c r="P116" s="49" t="str"/>
    </x:row>
    <x:row r="117">
      <x:c r="A117" s="49" t="str">
        <x:v>Q-113</x:v>
      </x:c>
      <x:c r="B117" s="49" t="str">
        <x:v>06_料金・請求・入出金</x:v>
      </x:c>
      <x:c r="C117" s="49" t="str">
        <x:v>WF-09〜WF-22</x:v>
      </x:c>
      <x:c r="D117" s="49" t="str">
        <x:v>実態/証跡</x:v>
      </x:c>
      <x:c r="E117" s="49" t="str">
        <x:v>タイムチャージの単価、丸め、記録単位、承認、請求周期は何ですか。</x:v>
      </x:c>
      <x:c r="F117" s="49" t="str">
        <x:v>依頼者・支払者・費目・入金・預り金を案件IDで貫通させるため</x:v>
      </x:c>
      <x:c r="G117" s="49" t="str">
        <x:v>Yes/No＋条件・例外</x:v>
      </x:c>
      <x:c r="H117" s="49" t="str">
        <x:v>MF請求書→MF会計、SF会計/請求/実費/預り金、第三者支払実例</x:v>
      </x:c>
      <x:c r="I117" s="49" t="str">
        <x:v>MF、SF会計系、請求メール、事務局長</x:v>
      </x:c>
      <x:c r="J117" s="49" t="str">
        <x:v>浅井先生＋中森</x:v>
      </x:c>
      <x:c r="K117" s="49" t="str">
        <x:v>P1</x:v>
      </x:c>
      <x:c r="L117" s="49" t="str">
        <x:v>一部可</x:v>
      </x:c>
      <x:c r="M117" s="49" t="str">
        <x:v>未回答</x:v>
      </x:c>
      <x:c r="N117" s="49" t="str"/>
      <x:c r="O117" s="49" t="str"/>
      <x:c r="P117" s="49" t="str"/>
    </x:row>
    <x:row r="118">
      <x:c r="A118" s="49" t="str">
        <x:v>Q-114</x:v>
      </x:c>
      <x:c r="B118" s="49" t="str">
        <x:v>06_料金・請求・入出金</x:v>
      </x:c>
      <x:c r="C118" s="49" t="str">
        <x:v>WF-09〜WF-22</x:v>
      </x:c>
      <x:c r="D118" s="49" t="str">
        <x:v>実態/証跡</x:v>
      </x:c>
      <x:c r="E118" s="49" t="str">
        <x:v>顧問料の自動引落、請求書不発行、個別相談の範囲外課金をどう記録しますか。</x:v>
      </x:c>
      <x:c r="F118" s="49" t="str">
        <x:v>依頼者・支払者・費目・入金・預り金を案件IDで貫通させるため</x:v>
      </x:c>
      <x:c r="G118" s="49" t="str">
        <x:v>Yes/No＋条件・例外</x:v>
      </x:c>
      <x:c r="H118" s="49" t="str">
        <x:v>MF請求書→MF会計、SF会計/請求/実費/預り金、第三者支払実例</x:v>
      </x:c>
      <x:c r="I118" s="49" t="str">
        <x:v>MF、SF会計系、請求メール、事務局長</x:v>
      </x:c>
      <x:c r="J118" s="49" t="str">
        <x:v>浅井先生＋中森</x:v>
      </x:c>
      <x:c r="K118" s="49" t="str">
        <x:v>P1</x:v>
      </x:c>
      <x:c r="L118" s="49" t="str">
        <x:v>一部可</x:v>
      </x:c>
      <x:c r="M118" s="49" t="str">
        <x:v>未回答</x:v>
      </x:c>
      <x:c r="N118" s="49" t="str"/>
      <x:c r="O118" s="49" t="str"/>
      <x:c r="P118" s="49" t="str"/>
    </x:row>
    <x:row r="119">
      <x:c r="A119" s="49" t="str">
        <x:v>Q-115</x:v>
      </x:c>
      <x:c r="B119" s="49" t="str">
        <x:v>06_料金・請求・入出金</x:v>
      </x:c>
      <x:c r="C119" s="49" t="str">
        <x:v>WF-09〜WF-22</x:v>
      </x:c>
      <x:c r="D119" s="49" t="str">
        <x:v>実態/証跡</x:v>
      </x:c>
      <x:c r="E119" s="49" t="str">
        <x:v>固定額案件の分割請求・マイルストーン請求をどう表現しますか。</x:v>
      </x:c>
      <x:c r="F119" s="49" t="str">
        <x:v>依頼者・支払者・費目・入金・預り金を案件IDで貫通させるため</x:v>
      </x:c>
      <x:c r="G119" s="49" t="str">
        <x:v>Yes/No＋条件・例外</x:v>
      </x:c>
      <x:c r="H119" s="49" t="str">
        <x:v>MF請求書→MF会計、SF会計/請求/実費/預り金、第三者支払実例</x:v>
      </x:c>
      <x:c r="I119" s="49" t="str">
        <x:v>MF、SF会計系、請求メール、事務局長</x:v>
      </x:c>
      <x:c r="J119" s="49" t="str">
        <x:v>浅井先生＋中森</x:v>
      </x:c>
      <x:c r="K119" s="49" t="str">
        <x:v>P1</x:v>
      </x:c>
      <x:c r="L119" s="49" t="str">
        <x:v>一部可</x:v>
      </x:c>
      <x:c r="M119" s="49" t="str">
        <x:v>未回答</x:v>
      </x:c>
      <x:c r="N119" s="49" t="str"/>
      <x:c r="O119" s="49" t="str"/>
      <x:c r="P119" s="49" t="str"/>
    </x:row>
    <x:row r="120">
      <x:c r="A120" s="49" t="str">
        <x:v>Q-116</x:v>
      </x:c>
      <x:c r="B120" s="49" t="str">
        <x:v>06_料金・請求・入出金</x:v>
      </x:c>
      <x:c r="C120" s="49" t="str">
        <x:v>WF-09〜WF-22</x:v>
      </x:c>
      <x:c r="D120" s="49" t="str">
        <x:v>実態/証跡</x:v>
      </x:c>
      <x:c r="E120" s="49" t="str">
        <x:v>成功報酬の成果条件が複数ある場合、各条件をどのように検証しますか。</x:v>
      </x:c>
      <x:c r="F120" s="49" t="str">
        <x:v>依頼者・支払者・費目・入金・預り金を案件IDで貫通させるため</x:v>
      </x:c>
      <x:c r="G120" s="49" t="str">
        <x:v>Yes/No＋条件・例外</x:v>
      </x:c>
      <x:c r="H120" s="49" t="str">
        <x:v>MF請求書→MF会計、SF会計/請求/実費/預り金、第三者支払実例</x:v>
      </x:c>
      <x:c r="I120" s="49" t="str">
        <x:v>MF、SF会計系、請求メール、事務局長</x:v>
      </x:c>
      <x:c r="J120" s="49" t="str">
        <x:v>浅井先生＋中森</x:v>
      </x:c>
      <x:c r="K120" s="49" t="str">
        <x:v>P1</x:v>
      </x:c>
      <x:c r="L120" s="49" t="str">
        <x:v>一部可</x:v>
      </x:c>
      <x:c r="M120" s="49" t="str">
        <x:v>未回答</x:v>
      </x:c>
      <x:c r="N120" s="49" t="str"/>
      <x:c r="O120" s="49" t="str"/>
      <x:c r="P120" s="49" t="str"/>
    </x:row>
    <x:row r="121">
      <x:c r="A121" s="49" t="str">
        <x:v>Q-117</x:v>
      </x:c>
      <x:c r="B121" s="49" t="str">
        <x:v>06_料金・請求・入出金</x:v>
      </x:c>
      <x:c r="C121" s="49" t="str">
        <x:v>WF-09〜WF-22</x:v>
      </x:c>
      <x:c r="D121" s="49" t="str">
        <x:v>実態/証跡</x:v>
      </x:c>
      <x:c r="E121" s="49" t="str">
        <x:v>依頼者と支払者が異なる類型を列挙してください（保険会社、法テラス、親族、法人等）。</x:v>
      </x:c>
      <x:c r="F121" s="49" t="str">
        <x:v>依頼者・支払者・費目・入金・預り金を案件IDで貫通させるため</x:v>
      </x:c>
      <x:c r="G121" s="49" t="str">
        <x:v>複数選択＋自由記述</x:v>
      </x:c>
      <x:c r="H121" s="49" t="str">
        <x:v>MF請求書→MF会計、SF会計/請求/実費/預り金、第三者支払実例</x:v>
      </x:c>
      <x:c r="I121" s="49" t="str">
        <x:v>MF、SF会計系、請求メール、事務局長</x:v>
      </x:c>
      <x:c r="J121" s="49" t="str">
        <x:v>浅井先生＋中森</x:v>
      </x:c>
      <x:c r="K121" s="49" t="str">
        <x:v>P0</x:v>
      </x:c>
      <x:c r="L121" s="49" t="str">
        <x:v>一部可</x:v>
      </x:c>
      <x:c r="M121" s="49" t="str">
        <x:v>未回答</x:v>
      </x:c>
      <x:c r="N121" s="49" t="str"/>
      <x:c r="O121" s="49" t="str"/>
      <x:c r="P121" s="49" t="str"/>
    </x:row>
    <x:row r="122">
      <x:c r="A122" s="49" t="str">
        <x:v>Q-118</x:v>
      </x:c>
      <x:c r="B122" s="49" t="str">
        <x:v>06_料金・請求・入出金</x:v>
      </x:c>
      <x:c r="C122" s="49" t="str">
        <x:v>WF-09〜WF-22</x:v>
      </x:c>
      <x:c r="D122" s="49" t="str">
        <x:v>実態/証跡</x:v>
      </x:c>
      <x:c r="E122" s="49" t="str">
        <x:v>第三者支払の場合、外部照会番号・担当窓口・支払条件をどこに保持しますか。</x:v>
      </x:c>
      <x:c r="F122" s="49" t="str">
        <x:v>依頼者・支払者・費目・入金・預り金を案件IDで貫通させるため</x:v>
      </x:c>
      <x:c r="G122" s="49" t="str">
        <x:v>Yes/No＋条件・例外</x:v>
      </x:c>
      <x:c r="H122" s="49" t="str">
        <x:v>MF請求書→MF会計、SF会計/請求/実費/預り金、第三者支払実例</x:v>
      </x:c>
      <x:c r="I122" s="49" t="str">
        <x:v>MF、SF会計系、請求メール、事務局長</x:v>
      </x:c>
      <x:c r="J122" s="49" t="str">
        <x:v>浅井先生＋中森</x:v>
      </x:c>
      <x:c r="K122" s="49" t="str">
        <x:v>P1</x:v>
      </x:c>
      <x:c r="L122" s="49" t="str">
        <x:v>一部可</x:v>
      </x:c>
      <x:c r="M122" s="49" t="str">
        <x:v>未回答</x:v>
      </x:c>
      <x:c r="N122" s="49" t="str"/>
      <x:c r="O122" s="49" t="str"/>
      <x:c r="P122" s="49" t="str"/>
    </x:row>
    <x:row r="123">
      <x:c r="A123" s="49" t="str">
        <x:v>Q-119</x:v>
      </x:c>
      <x:c r="B123" s="49" t="str">
        <x:v>06_料金・請求・入出金</x:v>
      </x:c>
      <x:c r="C123" s="49" t="str">
        <x:v>WF-09〜WF-22</x:v>
      </x:c>
      <x:c r="D123" s="49" t="str">
        <x:v>実態/証跡</x:v>
      </x:c>
      <x:c r="E123" s="49" t="str">
        <x:v>法テラス案件の申込、審査、援助決定、請求、入金の各状態をどう追跡しますか。</x:v>
      </x:c>
      <x:c r="F123" s="49" t="str">
        <x:v>依頼者・支払者・費目・入金・預り金を案件IDで貫通させるため</x:v>
      </x:c>
      <x:c r="G123" s="49" t="str">
        <x:v>Yes/No＋条件・例外</x:v>
      </x:c>
      <x:c r="H123" s="49" t="str">
        <x:v>MF請求書→MF会計、SF会計/請求/実費/預り金、第三者支払実例</x:v>
      </x:c>
      <x:c r="I123" s="49" t="str">
        <x:v>MF、SF会計系、請求メール、事務局長</x:v>
      </x:c>
      <x:c r="J123" s="49" t="str">
        <x:v>浅井先生＋中森</x:v>
      </x:c>
      <x:c r="K123" s="49" t="str">
        <x:v>P1</x:v>
      </x:c>
      <x:c r="L123" s="49" t="str">
        <x:v>実査可</x:v>
      </x:c>
      <x:c r="M123" s="49" t="str">
        <x:v>未回答</x:v>
      </x:c>
      <x:c r="N123" s="49" t="str"/>
      <x:c r="O123" s="49" t="str"/>
      <x:c r="P123" s="49" t="str"/>
    </x:row>
    <x:row r="124">
      <x:c r="A124" s="49" t="str">
        <x:v>Q-120</x:v>
      </x:c>
      <x:c r="B124" s="49" t="str">
        <x:v>06_料金・請求・入出金</x:v>
      </x:c>
      <x:c r="C124" s="49" t="str">
        <x:v>WF-09〜WF-22</x:v>
      </x:c>
      <x:c r="D124" s="49" t="str">
        <x:v>実態/証跡</x:v>
      </x:c>
      <x:c r="E124" s="49" t="str">
        <x:v>弁護士費用特約の事前承認、請求先変更、進捗報告要件をどう管理しますか。</x:v>
      </x:c>
      <x:c r="F124" s="49" t="str">
        <x:v>依頼者・支払者・費目・入金・預り金を案件IDで貫通させるため</x:v>
      </x:c>
      <x:c r="G124" s="49" t="str">
        <x:v>Yes/No＋条件・例外</x:v>
      </x:c>
      <x:c r="H124" s="49" t="str">
        <x:v>MF請求書→MF会計、SF会計/請求/実費/預り金、第三者支払実例</x:v>
      </x:c>
      <x:c r="I124" s="49" t="str">
        <x:v>MF、SF会計系、請求メール、事務局長</x:v>
      </x:c>
      <x:c r="J124" s="49" t="str">
        <x:v>浅井先生＋中森</x:v>
      </x:c>
      <x:c r="K124" s="49" t="str">
        <x:v>P1</x:v>
      </x:c>
      <x:c r="L124" s="49" t="str">
        <x:v>一部可</x:v>
      </x:c>
      <x:c r="M124" s="49" t="str">
        <x:v>未回答</x:v>
      </x:c>
      <x:c r="N124" s="49" t="str"/>
      <x:c r="O124" s="49" t="str"/>
      <x:c r="P124" s="49" t="str"/>
    </x:row>
    <x:row r="125">
      <x:c r="A125" s="49" t="str">
        <x:v>Q-121</x:v>
      </x:c>
      <x:c r="B125" s="49" t="str">
        <x:v>06_料金・請求・入出金</x:v>
      </x:c>
      <x:c r="C125" s="49" t="str">
        <x:v>WF-09〜WF-22</x:v>
      </x:c>
      <x:c r="D125" s="49" t="str">
        <x:v>実態/証跡</x:v>
      </x:c>
      <x:c r="E125" s="49" t="str">
        <x:v>見積額と最終請求額の差を、追加範囲・成果・時間・実費別に説明できますか。</x:v>
      </x:c>
      <x:c r="F125" s="49" t="str">
        <x:v>依頼者・支払者・費目・入金・預り金を案件IDで貫通させるため</x:v>
      </x:c>
      <x:c r="G125" s="49" t="str">
        <x:v>Yes/No＋条件・例外</x:v>
      </x:c>
      <x:c r="H125" s="49" t="str">
        <x:v>MF請求書→MF会計、SF会計/請求/実費/預り金、第三者支払実例</x:v>
      </x:c>
      <x:c r="I125" s="49" t="str">
        <x:v>MF、SF会計系、請求メール、事務局長</x:v>
      </x:c>
      <x:c r="J125" s="49" t="str">
        <x:v>浅井先生＋中森</x:v>
      </x:c>
      <x:c r="K125" s="49" t="str">
        <x:v>P1</x:v>
      </x:c>
      <x:c r="L125" s="49" t="str">
        <x:v>一部可</x:v>
      </x:c>
      <x:c r="M125" s="49" t="str">
        <x:v>未回答</x:v>
      </x:c>
      <x:c r="N125" s="49" t="str"/>
      <x:c r="O125" s="49" t="str"/>
      <x:c r="P125" s="49" t="str"/>
    </x:row>
    <x:row r="126">
      <x:c r="A126" s="49" t="str">
        <x:v>Q-122</x:v>
      </x:c>
      <x:c r="B126" s="49" t="str">
        <x:v>06_料金・請求・入出金</x:v>
      </x:c>
      <x:c r="C126" s="49" t="str">
        <x:v>WF-09〜WF-22</x:v>
      </x:c>
      <x:c r="D126" s="49" t="str">
        <x:v>実態/証跡</x:v>
      </x:c>
      <x:c r="E126" s="49" t="str">
        <x:v>実費預り金と一般預り金をどのように区別し、案件IDで貫通させますか。</x:v>
      </x:c>
      <x:c r="F126" s="49" t="str">
        <x:v>依頼者・支払者・費目・入金・預り金を案件IDで貫通させるため</x:v>
      </x:c>
      <x:c r="G126" s="49" t="str">
        <x:v>Yes/No＋条件・例外</x:v>
      </x:c>
      <x:c r="H126" s="49" t="str">
        <x:v>MF請求書→MF会計、SF会計/請求/実費/預り金、第三者支払実例</x:v>
      </x:c>
      <x:c r="I126" s="49" t="str">
        <x:v>MF、SF会計系、請求メール、事務局長</x:v>
      </x:c>
      <x:c r="J126" s="49" t="str">
        <x:v>浅井先生＋中森</x:v>
      </x:c>
      <x:c r="K126" s="49" t="str">
        <x:v>P2</x:v>
      </x:c>
      <x:c r="L126" s="49" t="str">
        <x:v>一部可</x:v>
      </x:c>
      <x:c r="M126" s="49" t="str">
        <x:v>未回答</x:v>
      </x:c>
      <x:c r="N126" s="49" t="str"/>
      <x:c r="O126" s="49" t="str"/>
      <x:c r="P126" s="49" t="str"/>
    </x:row>
    <x:row r="127">
      <x:c r="A127" s="49" t="str">
        <x:v>Q-123</x:v>
      </x:c>
      <x:c r="B127" s="49" t="str">
        <x:v>06_料金・請求・入出金</x:v>
      </x:c>
      <x:c r="C127" s="49" t="str">
        <x:v>WF-09〜WF-22</x:v>
      </x:c>
      <x:c r="D127" s="49" t="str">
        <x:v>実態/証跡</x:v>
      </x:c>
      <x:c r="E127" s="49" t="str">
        <x:v>実費発生時の証憑、立替者、費目、承認、顧客請求をどう記録しますか。</x:v>
      </x:c>
      <x:c r="F127" s="49" t="str">
        <x:v>依頼者・支払者・費目・入金・預り金を案件IDで貫通させるため</x:v>
      </x:c>
      <x:c r="G127" s="49" t="str">
        <x:v>Yes/No＋条件・例外</x:v>
      </x:c>
      <x:c r="H127" s="49" t="str">
        <x:v>MF請求書→MF会計、SF会計/請求/実費/預り金、第三者支払実例</x:v>
      </x:c>
      <x:c r="I127" s="49" t="str">
        <x:v>MF、SF会計系、請求メール、事務局長</x:v>
      </x:c>
      <x:c r="J127" s="49" t="str">
        <x:v>浅井先生＋中森</x:v>
      </x:c>
      <x:c r="K127" s="49" t="str">
        <x:v>P2</x:v>
      </x:c>
      <x:c r="L127" s="49" t="str">
        <x:v>一部可</x:v>
      </x:c>
      <x:c r="M127" s="49" t="str">
        <x:v>未回答</x:v>
      </x:c>
      <x:c r="N127" s="49" t="str"/>
      <x:c r="O127" s="49" t="str"/>
      <x:c r="P127" s="49" t="str"/>
    </x:row>
    <x:row r="128">
      <x:c r="A128" s="49" t="str">
        <x:v>Q-124</x:v>
      </x:c>
      <x:c r="B128" s="49" t="str">
        <x:v>06_料金・請求・入出金</x:v>
      </x:c>
      <x:c r="C128" s="49" t="str">
        <x:v>WF-09〜WF-22</x:v>
      </x:c>
      <x:c r="D128" s="49" t="str">
        <x:v>実態/証跡</x:v>
      </x:c>
      <x:c r="E128" s="49" t="str">
        <x:v>請求書を作成する人、内容を承認する人、送付する人は誰ですか。</x:v>
      </x:c>
      <x:c r="F128" s="49" t="str">
        <x:v>依頼者・支払者・費目・入金・預り金を案件IDで貫通させるため</x:v>
      </x:c>
      <x:c r="G128" s="49" t="str">
        <x:v>役割選択＋責任者</x:v>
      </x:c>
      <x:c r="H128" s="49" t="str">
        <x:v>MF請求書→MF会計、SF会計/請求/実費/預り金、第三者支払実例</x:v>
      </x:c>
      <x:c r="I128" s="49" t="str">
        <x:v>MF、SF会計系、請求メール、事務局長</x:v>
      </x:c>
      <x:c r="J128" s="49" t="str">
        <x:v>浅井先生＋中森</x:v>
      </x:c>
      <x:c r="K128" s="49" t="str">
        <x:v>P2</x:v>
      </x:c>
      <x:c r="L128" s="49" t="str">
        <x:v>一部可</x:v>
      </x:c>
      <x:c r="M128" s="49" t="str">
        <x:v>未回答</x:v>
      </x:c>
      <x:c r="N128" s="49" t="str"/>
      <x:c r="O128" s="49" t="str"/>
      <x:c r="P128" s="49" t="str"/>
    </x:row>
    <x:row r="129">
      <x:c r="A129" s="49" t="str">
        <x:v>Q-125</x:v>
      </x:c>
      <x:c r="B129" s="49" t="str">
        <x:v>06_料金・請求・入出金</x:v>
      </x:c>
      <x:c r="C129" s="49" t="str">
        <x:v>WF-09〜WF-22</x:v>
      </x:c>
      <x:c r="D129" s="49" t="str">
        <x:v>実態/証跡</x:v>
      </x:c>
      <x:c r="E129" s="49" t="str">
        <x:v>MF請求書とSalesforce会計/請求レコードのどちらを正本としますか。</x:v>
      </x:c>
      <x:c r="F129" s="49" t="str">
        <x:v>依頼者・支払者・費目・入金・預り金を案件IDで貫通させるため</x:v>
      </x:c>
      <x:c r="G129" s="49" t="str">
        <x:v>Yes/No＋条件・例外</x:v>
      </x:c>
      <x:c r="H129" s="49" t="str">
        <x:v>MF請求書→MF会計、SF会計/請求/実費/預り金、第三者支払実例</x:v>
      </x:c>
      <x:c r="I129" s="49" t="str">
        <x:v>MF、SF会計系、請求メール、事務局長</x:v>
      </x:c>
      <x:c r="J129" s="49" t="str">
        <x:v>浅井先生＋中森</x:v>
      </x:c>
      <x:c r="K129" s="49" t="str">
        <x:v>P0</x:v>
      </x:c>
      <x:c r="L129" s="49" t="str">
        <x:v>一部可</x:v>
      </x:c>
      <x:c r="M129" s="49" t="str">
        <x:v>未回答</x:v>
      </x:c>
      <x:c r="N129" s="49" t="str"/>
      <x:c r="O129" s="49" t="str"/>
      <x:c r="P129" s="49" t="str"/>
    </x:row>
    <x:row r="130">
      <x:c r="A130" s="49" t="str">
        <x:v>Q-126</x:v>
      </x:c>
      <x:c r="B130" s="49" t="str">
        <x:v>06_料金・請求・入出金</x:v>
      </x:c>
      <x:c r="C130" s="49" t="str">
        <x:v>WF-09〜WF-22</x:v>
      </x:c>
      <x:c r="D130" s="49" t="str">
        <x:v>実態/証跡</x:v>
      </x:c>
      <x:c r="E130" s="49" t="str">
        <x:v>請求書番号、案件ID、支払者ID、費目、対象期間を相互に紐付けられますか。</x:v>
      </x:c>
      <x:c r="F130" s="49" t="str">
        <x:v>依頼者・支払者・費目・入金・預り金を案件IDで貫通させるため</x:v>
      </x:c>
      <x:c r="G130" s="49" t="str">
        <x:v>Yes/No＋条件・例外</x:v>
      </x:c>
      <x:c r="H130" s="49" t="str">
        <x:v>MF請求書→MF会計、SF会計/請求/実費/預り金、第三者支払実例</x:v>
      </x:c>
      <x:c r="I130" s="49" t="str">
        <x:v>MF、SF会計系、請求メール、事務局長</x:v>
      </x:c>
      <x:c r="J130" s="49" t="str">
        <x:v>浅井先生＋中森</x:v>
      </x:c>
      <x:c r="K130" s="49" t="str">
        <x:v>P0</x:v>
      </x:c>
      <x:c r="L130" s="49" t="str">
        <x:v>一部可</x:v>
      </x:c>
      <x:c r="M130" s="49" t="str">
        <x:v>未回答</x:v>
      </x:c>
      <x:c r="N130" s="49" t="str"/>
      <x:c r="O130" s="49" t="str"/>
      <x:c r="P130" s="49" t="str"/>
    </x:row>
    <x:row r="131">
      <x:c r="A131" s="49" t="str">
        <x:v>Q-127</x:v>
      </x:c>
      <x:c r="B131" s="49" t="str">
        <x:v>06_料金・請求・入出金</x:v>
      </x:c>
      <x:c r="C131" s="49" t="str">
        <x:v>WF-09〜WF-22</x:v>
      </x:c>
      <x:c r="D131" s="49" t="str">
        <x:v>実態/証跡</x:v>
      </x:c>
      <x:c r="E131" s="49" t="str">
        <x:v>請求書の送付方法と送付時刻、添付版、宛先を証跡化しますか。</x:v>
      </x:c>
      <x:c r="F131" s="49" t="str">
        <x:v>依頼者・支払者・費目・入金・預り金を案件IDで貫通させるため</x:v>
      </x:c>
      <x:c r="G131" s="49" t="str">
        <x:v>Yes/No＋条件・例外</x:v>
      </x:c>
      <x:c r="H131" s="49" t="str">
        <x:v>MF請求書→MF会計、SF会計/請求/実費/預り金、第三者支払実例</x:v>
      </x:c>
      <x:c r="I131" s="49" t="str">
        <x:v>MF、SF会計系、請求メール、事務局長</x:v>
      </x:c>
      <x:c r="J131" s="49" t="str">
        <x:v>浅井先生＋中森</x:v>
      </x:c>
      <x:c r="K131" s="49" t="str">
        <x:v>P2</x:v>
      </x:c>
      <x:c r="L131" s="49" t="str">
        <x:v>実査可</x:v>
      </x:c>
      <x:c r="M131" s="49" t="str">
        <x:v>未回答</x:v>
      </x:c>
      <x:c r="N131" s="49" t="str"/>
      <x:c r="O131" s="49" t="str"/>
      <x:c r="P131" s="49" t="str"/>
    </x:row>
    <x:row r="132">
      <x:c r="A132" s="49" t="str">
        <x:v>Q-128</x:v>
      </x:c>
      <x:c r="B132" s="49" t="str">
        <x:v>06_料金・請求・入出金</x:v>
      </x:c>
      <x:c r="C132" s="49" t="str">
        <x:v>WF-09〜WF-22</x:v>
      </x:c>
      <x:c r="D132" s="49" t="str">
        <x:v>実態/証跡</x:v>
      </x:c>
      <x:c r="E132" s="49" t="str">
        <x:v>受領確認や保険会社の処理開始メールをinvoice_acknowledgedイベントにしますか。</x:v>
      </x:c>
      <x:c r="F132" s="49" t="str">
        <x:v>依頼者・支払者・費目・入金・預り金を案件IDで貫通させるため</x:v>
      </x:c>
      <x:c r="G132" s="49" t="str">
        <x:v>Yes/No＋条件・例外</x:v>
      </x:c>
      <x:c r="H132" s="49" t="str">
        <x:v>MF請求書→MF会計、SF会計/請求/実費/預り金、第三者支払実例</x:v>
      </x:c>
      <x:c r="I132" s="49" t="str">
        <x:v>MF、SF会計系、請求メール、事務局長</x:v>
      </x:c>
      <x:c r="J132" s="49" t="str">
        <x:v>浅井先生＋中森</x:v>
      </x:c>
      <x:c r="K132" s="49" t="str">
        <x:v>P2</x:v>
      </x:c>
      <x:c r="L132" s="49" t="str">
        <x:v>一部可</x:v>
      </x:c>
      <x:c r="M132" s="49" t="str">
        <x:v>未回答</x:v>
      </x:c>
      <x:c r="N132" s="49" t="str"/>
      <x:c r="O132" s="49" t="str"/>
      <x:c r="P132" s="49" t="str"/>
    </x:row>
    <x:row r="133">
      <x:c r="A133" s="49" t="str">
        <x:v>Q-129</x:v>
      </x:c>
      <x:c r="B133" s="49" t="str">
        <x:v>06_料金・請求・入出金</x:v>
      </x:c>
      <x:c r="C133" s="49" t="str">
        <x:v>WF-09〜WF-22</x:v>
      </x:c>
      <x:c r="D133" s="49" t="str">
        <x:v>定義/ルール</x:v>
      </x:c>
      <x:c r="E133" s="49" t="str">
        <x:v>入金消込は誰がどの頻度で行い、部分入金・過入金・振込名義違いをどう処理しますか。</x:v>
      </x:c>
      <x:c r="F133" s="49" t="str">
        <x:v>依頼者・支払者・費目・入金・預り金を案件IDで貫通させるため</x:v>
      </x:c>
      <x:c r="G133" s="49" t="str">
        <x:v>役割選択＋責任者</x:v>
      </x:c>
      <x:c r="H133" s="49" t="str">
        <x:v>MF請求書→MF会計、SF会計/請求/実費/預り金、第三者支払実例</x:v>
      </x:c>
      <x:c r="I133" s="49" t="str">
        <x:v>MF、SF会計系、請求メール、事務局長</x:v>
      </x:c>
      <x:c r="J133" s="49" t="str">
        <x:v>浅井先生＋中森</x:v>
      </x:c>
      <x:c r="K133" s="49" t="str">
        <x:v>P2</x:v>
      </x:c>
      <x:c r="L133" s="49" t="str">
        <x:v>聴取必須</x:v>
      </x:c>
      <x:c r="M133" s="49" t="str">
        <x:v>未回答</x:v>
      </x:c>
      <x:c r="N133" s="49" t="str"/>
      <x:c r="O133" s="49" t="str"/>
      <x:c r="P133" s="49" t="str"/>
    </x:row>
    <x:row r="134">
      <x:c r="A134" s="49" t="str">
        <x:v>Q-130</x:v>
      </x:c>
      <x:c r="B134" s="49" t="str">
        <x:v>06_料金・請求・入出金</x:v>
      </x:c>
      <x:c r="C134" s="49" t="str">
        <x:v>WF-09〜WF-22</x:v>
      </x:c>
      <x:c r="D134" s="49" t="str">
        <x:v>実態/証跡</x:v>
      </x:c>
      <x:c r="E134" s="49" t="str">
        <x:v>支払期限超過時のリマインド、業務停止、責任者通知のルールは何ですか。</x:v>
      </x:c>
      <x:c r="F134" s="49" t="str">
        <x:v>依頼者・支払者・費目・入金・預り金を案件IDで貫通させるため</x:v>
      </x:c>
      <x:c r="G134" s="49" t="str">
        <x:v>Yes/No＋条件・例外</x:v>
      </x:c>
      <x:c r="H134" s="49" t="str">
        <x:v>MF請求書→MF会計、SF会計/請求/実費/預り金、第三者支払実例</x:v>
      </x:c>
      <x:c r="I134" s="49" t="str">
        <x:v>MF、SF会計系、請求メール、事務局長</x:v>
      </x:c>
      <x:c r="J134" s="49" t="str">
        <x:v>浅井先生＋中森</x:v>
      </x:c>
      <x:c r="K134" s="49" t="str">
        <x:v>P0</x:v>
      </x:c>
      <x:c r="L134" s="49" t="str">
        <x:v>一部可</x:v>
      </x:c>
      <x:c r="M134" s="49" t="str">
        <x:v>未回答</x:v>
      </x:c>
      <x:c r="N134" s="49" t="str"/>
      <x:c r="O134" s="49" t="str"/>
      <x:c r="P134" s="49" t="str"/>
    </x:row>
    <x:row r="135">
      <x:c r="A135" s="49" t="str">
        <x:v>Q-131</x:v>
      </x:c>
      <x:c r="B135" s="49" t="str">
        <x:v>06_料金・請求・入出金</x:v>
      </x:c>
      <x:c r="C135" s="49" t="str">
        <x:v>WF-09〜WF-22</x:v>
      </x:c>
      <x:c r="D135" s="49" t="str">
        <x:v>実態/証跡</x:v>
      </x:c>
      <x:c r="E135" s="49" t="str">
        <x:v>値引き、免除、貸倒、返金の承認と理由をどのように残しますか。</x:v>
      </x:c>
      <x:c r="F135" s="49" t="str">
        <x:v>依頼者・支払者・費目・入金・預り金を案件IDで貫通させるため</x:v>
      </x:c>
      <x:c r="G135" s="49" t="str">
        <x:v>Yes/No＋条件・例外</x:v>
      </x:c>
      <x:c r="H135" s="49" t="str">
        <x:v>MF請求書→MF会計、SF会計/請求/実費/預り金、第三者支払実例</x:v>
      </x:c>
      <x:c r="I135" s="49" t="str">
        <x:v>MF、SF会計系、請求メール、事務局長</x:v>
      </x:c>
      <x:c r="J135" s="49" t="str">
        <x:v>浅井先生＋中森</x:v>
      </x:c>
      <x:c r="K135" s="49" t="str">
        <x:v>P2</x:v>
      </x:c>
      <x:c r="L135" s="49" t="str">
        <x:v>一部可</x:v>
      </x:c>
      <x:c r="M135" s="49" t="str">
        <x:v>未回答</x:v>
      </x:c>
      <x:c r="N135" s="49" t="str"/>
      <x:c r="O135" s="49" t="str"/>
      <x:c r="P135" s="49" t="str"/>
    </x:row>
    <x:row r="136">
      <x:c r="A136" s="49" t="str">
        <x:v>Q-132</x:v>
      </x:c>
      <x:c r="B136" s="49" t="str">
        <x:v>06_料金・請求・入出金</x:v>
      </x:c>
      <x:c r="C136" s="49" t="str">
        <x:v>WF-09〜WF-22</x:v>
      </x:c>
      <x:c r="D136" s="49" t="str">
        <x:v>実態/証跡</x:v>
      </x:c>
      <x:c r="E136" s="49" t="str">
        <x:v>終結時に未請求時間、未精算実費、預り金、未収金をゼロ確認するゲートを設けますか。</x:v>
      </x:c>
      <x:c r="F136" s="49" t="str">
        <x:v>依頼者・支払者・費目・入金・預り金を案件IDで貫通させるため</x:v>
      </x:c>
      <x:c r="G136" s="49" t="str">
        <x:v>Yes/No＋条件・例外</x:v>
      </x:c>
      <x:c r="H136" s="49" t="str">
        <x:v>MF請求書→MF会計、SF会計/請求/実費/預り金、第三者支払実例</x:v>
      </x:c>
      <x:c r="I136" s="49" t="str">
        <x:v>MF、SF会計系、請求メール、事務局長</x:v>
      </x:c>
      <x:c r="J136" s="49" t="str">
        <x:v>浅井先生＋中森</x:v>
      </x:c>
      <x:c r="K136" s="49" t="str">
        <x:v>P0</x:v>
      </x:c>
      <x:c r="L136" s="49" t="str">
        <x:v>一部可</x:v>
      </x:c>
      <x:c r="M136" s="49" t="str">
        <x:v>未回答</x:v>
      </x:c>
      <x:c r="N136" s="49" t="str"/>
      <x:c r="O136" s="49" t="str"/>
      <x:c r="P136" s="49" t="str"/>
    </x:row>
    <x:row r="137">
      <x:c r="A137" s="49" t="str">
        <x:v>Q-133</x:v>
      </x:c>
      <x:c r="B137" s="49" t="str">
        <x:v>06_料金・請求・入出金</x:v>
      </x:c>
      <x:c r="C137" s="49" t="str">
        <x:v>WF-09〜WF-22</x:v>
      </x:c>
      <x:c r="D137" s="49" t="str">
        <x:v>実態/証跡</x:v>
      </x:c>
      <x:c r="E137" s="49" t="str">
        <x:v>報酬金の経済的利益計算の根拠資料と計算式を終了報告に自動差込しますか。</x:v>
      </x:c>
      <x:c r="F137" s="49" t="str">
        <x:v>依頼者・支払者・費目・入金・預り金を案件IDで貫通させるため</x:v>
      </x:c>
      <x:c r="G137" s="49" t="str">
        <x:v>Yes/No＋条件・例外</x:v>
      </x:c>
      <x:c r="H137" s="49" t="str">
        <x:v>MF請求書→MF会計、SF会計/請求/実費/預り金、第三者支払実例</x:v>
      </x:c>
      <x:c r="I137" s="49" t="str">
        <x:v>MF、SF会計系、請求メール、事務局長</x:v>
      </x:c>
      <x:c r="J137" s="49" t="str">
        <x:v>浅井先生＋中森</x:v>
      </x:c>
      <x:c r="K137" s="49" t="str">
        <x:v>P2</x:v>
      </x:c>
      <x:c r="L137" s="49" t="str">
        <x:v>一部可</x:v>
      </x:c>
      <x:c r="M137" s="49" t="str">
        <x:v>未回答</x:v>
      </x:c>
      <x:c r="N137" s="49" t="str"/>
      <x:c r="O137" s="49" t="str"/>
      <x:c r="P137" s="49" t="str"/>
    </x:row>
    <x:row r="138">
      <x:c r="A138" s="49" t="str">
        <x:v>Q-134</x:v>
      </x:c>
      <x:c r="B138" s="49" t="str">
        <x:v>06_料金・請求・入出金</x:v>
      </x:c>
      <x:c r="C138" s="49" t="str">
        <x:v>WF-09〜WF-22</x:v>
      </x:c>
      <x:c r="D138" s="49" t="str">
        <x:v>実態/証跡</x:v>
      </x:c>
      <x:c r="E138" s="49" t="str">
        <x:v>売上分析は流入経路、業務類型、担当、料金モデル、支払者類型のどの軸で見たいですか。</x:v>
      </x:c>
      <x:c r="F138" s="49" t="str">
        <x:v>依頼者・支払者・費目・入金・預り金を案件IDで貫通させるため</x:v>
      </x:c>
      <x:c r="G138" s="49" t="str">
        <x:v>Yes/No＋条件・例外</x:v>
      </x:c>
      <x:c r="H138" s="49" t="str">
        <x:v>MF請求書→MF会計、SF会計/請求/実費/預り金、第三者支払実例</x:v>
      </x:c>
      <x:c r="I138" s="49" t="str">
        <x:v>MF、SF会計系、請求メール、事務局長</x:v>
      </x:c>
      <x:c r="J138" s="49" t="str">
        <x:v>浅井先生＋中森</x:v>
      </x:c>
      <x:c r="K138" s="49" t="str">
        <x:v>P0</x:v>
      </x:c>
      <x:c r="L138" s="49" t="str">
        <x:v>一部可</x:v>
      </x:c>
      <x:c r="M138" s="49" t="str">
        <x:v>未回答</x:v>
      </x:c>
      <x:c r="N138" s="49" t="str"/>
      <x:c r="O138" s="49" t="str"/>
      <x:c r="P138" s="49" t="str"/>
    </x:row>
    <x:row r="139">
      <x:c r="A139" s="49" t="str">
        <x:v>Q-135</x:v>
      </x:c>
      <x:c r="B139" s="49" t="str">
        <x:v>07_案件計画・日常処理</x:v>
      </x:c>
      <x:c r="C139" s="49" t="str">
        <x:v>WF-13〜WF-18</x:v>
      </x:c>
      <x:c r="D139" s="49" t="str">
        <x:v>実態/証跡</x:v>
      </x:c>
      <x:c r="E139" s="49" t="str">
        <x:v>受任直後に必ず作る案件計画の項目は何ですか。</x:v>
      </x:c>
      <x:c r="F139" s="49" t="str">
        <x:v>常に次行動・担当・期限・待ち先を明示し、放置と属人化を減らすため</x:v>
      </x:c>
      <x:c r="G139" s="49" t="str">
        <x:v>Yes/No＋条件・例外</x:v>
      </x:c>
      <x:c r="H139" s="49" t="str">
        <x:v>SF Task/Event/Deadline/Chatter、週次全件おろし、DerivedEvent構想</x:v>
      </x:c>
      <x:c r="I139" s="49" t="str">
        <x:v>SF Task/Event/Chatter、週次会議、事務作業動画</x:v>
      </x:c>
      <x:c r="J139" s="49" t="str">
        <x:v>全員</x:v>
      </x:c>
      <x:c r="K139" s="49" t="str">
        <x:v>P1</x:v>
      </x:c>
      <x:c r="L139" s="49" t="str">
        <x:v>一部可</x:v>
      </x:c>
      <x:c r="M139" s="49" t="str">
        <x:v>未回答</x:v>
      </x:c>
      <x:c r="N139" s="49" t="str"/>
      <x:c r="O139" s="49" t="str"/>
      <x:c r="P139" s="49" t="str"/>
    </x:row>
    <x:row r="140">
      <x:c r="A140" s="49" t="str">
        <x:v>Q-136</x:v>
      </x:c>
      <x:c r="B140" s="49" t="str">
        <x:v>07_案件計画・日常処理</x:v>
      </x:c>
      <x:c r="C140" s="49" t="str">
        <x:v>WF-13〜WF-18</x:v>
      </x:c>
      <x:c r="D140" s="49" t="str">
        <x:v>定義/ルール</x:v>
      </x:c>
      <x:c r="E140" s="49" t="str">
        <x:v>案件の目的、成功条件、最低許容結果を誰が設定し更新しますか。</x:v>
      </x:c>
      <x:c r="F140" s="49" t="str">
        <x:v>常に次行動・担当・期限・待ち先を明示し、放置と属人化を減らすため</x:v>
      </x:c>
      <x:c r="G140" s="49" t="str">
        <x:v>役割選択＋責任者</x:v>
      </x:c>
      <x:c r="H140" s="49" t="str">
        <x:v>SF Task/Event/Deadline/Chatter、週次全件おろし、DerivedEvent構想</x:v>
      </x:c>
      <x:c r="I140" s="49" t="str">
        <x:v>SF Task/Event/Chatter、週次会議、事務作業動画</x:v>
      </x:c>
      <x:c r="J140" s="49" t="str">
        <x:v>全員</x:v>
      </x:c>
      <x:c r="K140" s="49" t="str">
        <x:v>P1</x:v>
      </x:c>
      <x:c r="L140" s="49" t="str">
        <x:v>聴取必須</x:v>
      </x:c>
      <x:c r="M140" s="49" t="str">
        <x:v>未回答</x:v>
      </x:c>
      <x:c r="N140" s="49" t="str"/>
      <x:c r="O140" s="49" t="str"/>
      <x:c r="P140" s="49" t="str"/>
    </x:row>
    <x:row r="141">
      <x:c r="A141" s="49" t="str">
        <x:v>Q-137</x:v>
      </x:c>
      <x:c r="B141" s="49" t="str">
        <x:v>07_案件計画・日常処理</x:v>
      </x:c>
      <x:c r="C141" s="49" t="str">
        <x:v>WF-13〜WF-18</x:v>
      </x:c>
      <x:c r="D141" s="49" t="str">
        <x:v>実態/証跡</x:v>
      </x:c>
      <x:c r="E141" s="49" t="str">
        <x:v>主要論点・手続・関係者・証拠・期限を別オブジェクトで持ちますか。</x:v>
      </x:c>
      <x:c r="F141" s="49" t="str">
        <x:v>常に次行動・担当・期限・待ち先を明示し、放置と属人化を減らすため</x:v>
      </x:c>
      <x:c r="G141" s="49" t="str">
        <x:v>Yes/No＋条件・例外</x:v>
      </x:c>
      <x:c r="H141" s="49" t="str">
        <x:v>SF Task/Event/Deadline/Chatter、週次全件おろし、DerivedEvent構想</x:v>
      </x:c>
      <x:c r="I141" s="49" t="str">
        <x:v>SF Task/Event/Chatter、週次会議、事務作業動画</x:v>
      </x:c>
      <x:c r="J141" s="49" t="str">
        <x:v>全員</x:v>
      </x:c>
      <x:c r="K141" s="49" t="str">
        <x:v>P0</x:v>
      </x:c>
      <x:c r="L141" s="49" t="str">
        <x:v>一部可</x:v>
      </x:c>
      <x:c r="M141" s="49" t="str">
        <x:v>未回答</x:v>
      </x:c>
      <x:c r="N141" s="49" t="str"/>
      <x:c r="O141" s="49" t="str"/>
      <x:c r="P141" s="49" t="str"/>
    </x:row>
    <x:row r="142">
      <x:c r="A142" s="49" t="str">
        <x:v>Q-138</x:v>
      </x:c>
      <x:c r="B142" s="49" t="str">
        <x:v>07_案件計画・日常処理</x:v>
      </x:c>
      <x:c r="C142" s="49" t="str">
        <x:v>WF-13〜WF-18</x:v>
      </x:c>
      <x:c r="D142" s="49" t="str">
        <x:v>実態/証跡</x:v>
      </x:c>
      <x:c r="E142" s="49" t="str">
        <x:v>常に1件のnext_action、owner、due_at、waiting_onを必須にしますか。</x:v>
      </x:c>
      <x:c r="F142" s="49" t="str">
        <x:v>常に次行動・担当・期限・待ち先を明示し、放置と属人化を減らすため</x:v>
      </x:c>
      <x:c r="G142" s="49" t="str">
        <x:v>Yes/No＋条件・例外</x:v>
      </x:c>
      <x:c r="H142" s="49" t="str">
        <x:v>SF Task/Event/Deadline/Chatter、週次全件おろし、DerivedEvent構想</x:v>
      </x:c>
      <x:c r="I142" s="49" t="str">
        <x:v>SF Task/Event/Chatter、週次会議、事務作業動画</x:v>
      </x:c>
      <x:c r="J142" s="49" t="str">
        <x:v>全員</x:v>
      </x:c>
      <x:c r="K142" s="49" t="str">
        <x:v>P0</x:v>
      </x:c>
      <x:c r="L142" s="49" t="str">
        <x:v>一部可</x:v>
      </x:c>
      <x:c r="M142" s="49" t="str">
        <x:v>未回答</x:v>
      </x:c>
      <x:c r="N142" s="49" t="str"/>
      <x:c r="O142" s="49" t="str"/>
      <x:c r="P142" s="49" t="str"/>
    </x:row>
    <x:row r="143">
      <x:c r="A143" s="49" t="str">
        <x:v>Q-139</x:v>
      </x:c>
      <x:c r="B143" s="49" t="str">
        <x:v>07_案件計画・日常処理</x:v>
      </x:c>
      <x:c r="C143" s="49" t="str">
        <x:v>WF-13〜WF-18</x:v>
      </x:c>
      <x:c r="D143" s="49" t="str">
        <x:v>実態/証跡</x:v>
      </x:c>
      <x:c r="E143" s="49" t="str">
        <x:v>メール・電話・会議からTaskを生成する条件と、単なる記録で終える条件は何ですか。</x:v>
      </x:c>
      <x:c r="F143" s="49" t="str">
        <x:v>常に次行動・担当・期限・待ち先を明示し、放置と属人化を減らすため</x:v>
      </x:c>
      <x:c r="G143" s="49" t="str">
        <x:v>Yes/No＋条件・例外</x:v>
      </x:c>
      <x:c r="H143" s="49" t="str">
        <x:v>SF Task/Event/Deadline/Chatter、週次全件おろし、DerivedEvent構想</x:v>
      </x:c>
      <x:c r="I143" s="49" t="str">
        <x:v>SF Task/Event/Chatter、週次会議、事務作業動画</x:v>
      </x:c>
      <x:c r="J143" s="49" t="str">
        <x:v>全員</x:v>
      </x:c>
      <x:c r="K143" s="49" t="str">
        <x:v>P1</x:v>
      </x:c>
      <x:c r="L143" s="49" t="str">
        <x:v>一部可</x:v>
      </x:c>
      <x:c r="M143" s="49" t="str">
        <x:v>未回答</x:v>
      </x:c>
      <x:c r="N143" s="49" t="str"/>
      <x:c r="O143" s="49" t="str"/>
      <x:c r="P143" s="49" t="str"/>
    </x:row>
    <x:row r="144">
      <x:c r="A144" s="49" t="str">
        <x:v>Q-140</x:v>
      </x:c>
      <x:c r="B144" s="49" t="str">
        <x:v>07_案件計画・日常処理</x:v>
      </x:c>
      <x:c r="C144" s="49" t="str">
        <x:v>WF-13〜WF-18</x:v>
      </x:c>
      <x:c r="D144" s="49" t="str">
        <x:v>定義/ルール</x:v>
      </x:c>
      <x:c r="E144" s="49" t="str">
        <x:v>タスクを弁護士・事務局・アルバイトへ割り当てる基準は何ですか。</x:v>
      </x:c>
      <x:c r="F144" s="49" t="str">
        <x:v>常に次行動・担当・期限・待ち先を明示し、放置と属人化を減らすため</x:v>
      </x:c>
      <x:c r="G144" s="49" t="str">
        <x:v>Yes/No＋条件・例外</x:v>
      </x:c>
      <x:c r="H144" s="49" t="str">
        <x:v>SF Task/Event/Deadline/Chatter、週次全件おろし、DerivedEvent構想</x:v>
      </x:c>
      <x:c r="I144" s="49" t="str">
        <x:v>SF Task/Event/Chatter、週次会議、事務作業動画</x:v>
      </x:c>
      <x:c r="J144" s="49" t="str">
        <x:v>全員</x:v>
      </x:c>
      <x:c r="K144" s="49" t="str">
        <x:v>P1</x:v>
      </x:c>
      <x:c r="L144" s="49" t="str">
        <x:v>聴取必須</x:v>
      </x:c>
      <x:c r="M144" s="49" t="str">
        <x:v>未回答</x:v>
      </x:c>
      <x:c r="N144" s="49" t="str"/>
      <x:c r="O144" s="49" t="str"/>
      <x:c r="P144" s="49" t="str"/>
    </x:row>
    <x:row r="145">
      <x:c r="A145" s="49" t="str">
        <x:v>Q-141</x:v>
      </x:c>
      <x:c r="B145" s="49" t="str">
        <x:v>07_案件計画・日常処理</x:v>
      </x:c>
      <x:c r="C145" s="49" t="str">
        <x:v>WF-13〜WF-18</x:v>
      </x:c>
      <x:c r="D145" s="49" t="str">
        <x:v>定義/ルール</x:v>
      </x:c>
      <x:c r="E145" s="49" t="str">
        <x:v>口頭指示やNotta同席指示を誰が確認してTask化しますか。</x:v>
      </x:c>
      <x:c r="F145" s="49" t="str">
        <x:v>常に次行動・担当・期限・待ち先を明示し、放置と属人化を減らすため</x:v>
      </x:c>
      <x:c r="G145" s="49" t="str">
        <x:v>役割選択＋責任者</x:v>
      </x:c>
      <x:c r="H145" s="49" t="str">
        <x:v>SF Task/Event/Deadline/Chatter、週次全件おろし、DerivedEvent構想</x:v>
      </x:c>
      <x:c r="I145" s="49" t="str">
        <x:v>SF Task/Event/Chatter、週次会議、事務作業動画</x:v>
      </x:c>
      <x:c r="J145" s="49" t="str">
        <x:v>全員</x:v>
      </x:c>
      <x:c r="K145" s="49" t="str">
        <x:v>P1</x:v>
      </x:c>
      <x:c r="L145" s="49" t="str">
        <x:v>聴取必須</x:v>
      </x:c>
      <x:c r="M145" s="49" t="str">
        <x:v>未回答</x:v>
      </x:c>
      <x:c r="N145" s="49" t="str"/>
      <x:c r="O145" s="49" t="str"/>
      <x:c r="P145" s="49" t="str"/>
    </x:row>
    <x:row r="146">
      <x:c r="A146" s="49" t="str">
        <x:v>Q-142</x:v>
      </x:c>
      <x:c r="B146" s="49" t="str">
        <x:v>07_案件計画・日常処理</x:v>
      </x:c>
      <x:c r="C146" s="49" t="str">
        <x:v>WF-13〜WF-18</x:v>
      </x:c>
      <x:c r="D146" s="49" t="str">
        <x:v>実態/証跡</x:v>
      </x:c>
      <x:c r="E146" s="49" t="str">
        <x:v>作業開始・中断・終了をwork_sessionとして記録する必要がありますか。</x:v>
      </x:c>
      <x:c r="F146" s="49" t="str">
        <x:v>常に次行動・担当・期限・待ち先を明示し、放置と属人化を減らすため</x:v>
      </x:c>
      <x:c r="G146" s="49" t="str">
        <x:v>Yes/No＋条件・例外</x:v>
      </x:c>
      <x:c r="H146" s="49" t="str">
        <x:v>SF Task/Event/Deadline/Chatter、週次全件おろし、DerivedEvent構想</x:v>
      </x:c>
      <x:c r="I146" s="49" t="str">
        <x:v>SF Task/Event/Chatter、週次会議、事務作業動画</x:v>
      </x:c>
      <x:c r="J146" s="49" t="str">
        <x:v>全員</x:v>
      </x:c>
      <x:c r="K146" s="49" t="str">
        <x:v>P1</x:v>
      </x:c>
      <x:c r="L146" s="49" t="str">
        <x:v>一部可</x:v>
      </x:c>
      <x:c r="M146" s="49" t="str">
        <x:v>未回答</x:v>
      </x:c>
      <x:c r="N146" s="49" t="str"/>
      <x:c r="O146" s="49" t="str"/>
      <x:c r="P146" s="49" t="str"/>
    </x:row>
    <x:row r="147">
      <x:c r="A147" s="49" t="str">
        <x:v>Q-143</x:v>
      </x:c>
      <x:c r="B147" s="49" t="str">
        <x:v>07_案件計画・日常処理</x:v>
      </x:c>
      <x:c r="C147" s="49" t="str">
        <x:v>WF-13〜WF-18</x:v>
      </x:c>
      <x:c r="D147" s="49" t="str">
        <x:v>定義/ルール</x:v>
      </x:c>
      <x:c r="E147" s="49" t="str">
        <x:v>タイムチャージでない案件でも作業時間を測る目的と許容負担は何ですか。</x:v>
      </x:c>
      <x:c r="F147" s="49" t="str">
        <x:v>常に次行動・担当・期限・待ち先を明示し、放置と属人化を減らすため</x:v>
      </x:c>
      <x:c r="G147" s="49" t="str">
        <x:v>Yes/No＋条件・例外</x:v>
      </x:c>
      <x:c r="H147" s="49" t="str">
        <x:v>SF Task/Event/Deadline/Chatter、週次全件おろし、DerivedEvent構想</x:v>
      </x:c>
      <x:c r="I147" s="49" t="str">
        <x:v>SF Task/Event/Chatter、週次会議、事務作業動画</x:v>
      </x:c>
      <x:c r="J147" s="49" t="str">
        <x:v>全員</x:v>
      </x:c>
      <x:c r="K147" s="49" t="str">
        <x:v>P1</x:v>
      </x:c>
      <x:c r="L147" s="49" t="str">
        <x:v>聴取必須</x:v>
      </x:c>
      <x:c r="M147" s="49" t="str">
        <x:v>未回答</x:v>
      </x:c>
      <x:c r="N147" s="49" t="str"/>
      <x:c r="O147" s="49" t="str"/>
      <x:c r="P147" s="49" t="str"/>
    </x:row>
    <x:row r="148">
      <x:c r="A148" s="49" t="str">
        <x:v>Q-144</x:v>
      </x:c>
      <x:c r="B148" s="49" t="str">
        <x:v>07_案件計画・日常処理</x:v>
      </x:c>
      <x:c r="C148" s="49" t="str">
        <x:v>WF-13〜WF-18</x:v>
      </x:c>
      <x:c r="D148" s="49" t="str">
        <x:v>実態/証跡</x:v>
      </x:c>
      <x:c r="E148" s="49" t="str">
        <x:v>待ち先を依頼者、相手方、裁判所、第三者、所内のどれかで必須管理しますか。</x:v>
      </x:c>
      <x:c r="F148" s="49" t="str">
        <x:v>常に次行動・担当・期限・待ち先を明示し、放置と属人化を減らすため</x:v>
      </x:c>
      <x:c r="G148" s="49" t="str">
        <x:v>Yes/No＋条件・例外</x:v>
      </x:c>
      <x:c r="H148" s="49" t="str">
        <x:v>SF Task/Event/Deadline/Chatter、週次全件おろし、DerivedEvent構想</x:v>
      </x:c>
      <x:c r="I148" s="49" t="str">
        <x:v>SF Task/Event/Chatter、週次会議、事務作業動画</x:v>
      </x:c>
      <x:c r="J148" s="49" t="str">
        <x:v>全員</x:v>
      </x:c>
      <x:c r="K148" s="49" t="str">
        <x:v>P0</x:v>
      </x:c>
      <x:c r="L148" s="49" t="str">
        <x:v>一部可</x:v>
      </x:c>
      <x:c r="M148" s="49" t="str">
        <x:v>未回答</x:v>
      </x:c>
      <x:c r="N148" s="49" t="str"/>
      <x:c r="O148" s="49" t="str"/>
      <x:c r="P148" s="49" t="str"/>
    </x:row>
    <x:row r="149">
      <x:c r="A149" s="49" t="str">
        <x:v>Q-145</x:v>
      </x:c>
      <x:c r="B149" s="49" t="str">
        <x:v>07_案件計画・日常処理</x:v>
      </x:c>
      <x:c r="C149" s="49" t="str">
        <x:v>WF-13〜WF-18</x:v>
      </x:c>
      <x:c r="D149" s="49" t="str">
        <x:v>実態/証跡</x:v>
      </x:c>
      <x:c r="E149" s="49" t="str">
        <x:v>案件状態は、能動作業中、依頼者待ち、相手方待ち、裁判所待ち、保留を分けますか。</x:v>
      </x:c>
      <x:c r="F149" s="49" t="str">
        <x:v>常に次行動・担当・期限・待ち先を明示し、放置と属人化を減らすため</x:v>
      </x:c>
      <x:c r="G149" s="49" t="str">
        <x:v>Yes/No＋条件・例外</x:v>
      </x:c>
      <x:c r="H149" s="49" t="str">
        <x:v>SF Task/Event/Deadline/Chatter、週次全件おろし、DerivedEvent構想</x:v>
      </x:c>
      <x:c r="I149" s="49" t="str">
        <x:v>SF Task/Event/Chatter、週次会議、事務作業動画</x:v>
      </x:c>
      <x:c r="J149" s="49" t="str">
        <x:v>全員</x:v>
      </x:c>
      <x:c r="K149" s="49" t="str">
        <x:v>P2</x:v>
      </x:c>
      <x:c r="L149" s="49" t="str">
        <x:v>一部可</x:v>
      </x:c>
      <x:c r="M149" s="49" t="str">
        <x:v>未回答</x:v>
      </x:c>
      <x:c r="N149" s="49" t="str"/>
      <x:c r="O149" s="49" t="str"/>
      <x:c r="P149" s="49" t="str"/>
    </x:row>
    <x:row r="150">
      <x:c r="A150" s="49" t="str">
        <x:v>Q-146</x:v>
      </x:c>
      <x:c r="B150" s="49" t="str">
        <x:v>07_案件計画・日常処理</x:v>
      </x:c>
      <x:c r="C150" s="49" t="str">
        <x:v>WF-13〜WF-18</x:v>
      </x:c>
      <x:c r="D150" s="49" t="str">
        <x:v>実態/証跡</x:v>
      </x:c>
      <x:c r="E150" s="49" t="str">
        <x:v>担当交代時に必要な引継ぎパケットは何ですか。</x:v>
      </x:c>
      <x:c r="F150" s="49" t="str">
        <x:v>常に次行動・担当・期限・待ち先を明示し、放置と属人化を減らすため</x:v>
      </x:c>
      <x:c r="G150" s="49" t="str">
        <x:v>Yes/No＋条件・例外</x:v>
      </x:c>
      <x:c r="H150" s="49" t="str">
        <x:v>SF Task/Event/Deadline/Chatter、週次全件おろし、DerivedEvent構想</x:v>
      </x:c>
      <x:c r="I150" s="49" t="str">
        <x:v>SF Task/Event/Chatter、週次会議、事務作業動画</x:v>
      </x:c>
      <x:c r="J150" s="49" t="str">
        <x:v>全員</x:v>
      </x:c>
      <x:c r="K150" s="49" t="str">
        <x:v>P2</x:v>
      </x:c>
      <x:c r="L150" s="49" t="str">
        <x:v>一部可</x:v>
      </x:c>
      <x:c r="M150" s="49" t="str">
        <x:v>未回答</x:v>
      </x:c>
      <x:c r="N150" s="49" t="str"/>
      <x:c r="O150" s="49" t="str"/>
      <x:c r="P150" s="49" t="str"/>
    </x:row>
    <x:row r="151">
      <x:c r="A151" s="49" t="str">
        <x:v>Q-147</x:v>
      </x:c>
      <x:c r="B151" s="49" t="str">
        <x:v>07_案件計画・日常処理</x:v>
      </x:c>
      <x:c r="C151" s="49" t="str">
        <x:v>WF-13〜WF-18</x:v>
      </x:c>
      <x:c r="D151" s="49" t="str">
        <x:v>実態/証跡</x:v>
      </x:c>
      <x:c r="E151" s="49" t="str">
        <x:v>週次全件おろしで確認する項目を、そのまま機械判定できるようにしますか。</x:v>
      </x:c>
      <x:c r="F151" s="49" t="str">
        <x:v>常に次行動・担当・期限・待ち先を明示し、放置と属人化を減らすため</x:v>
      </x:c>
      <x:c r="G151" s="49" t="str">
        <x:v>Yes/No＋条件・例外</x:v>
      </x:c>
      <x:c r="H151" s="49" t="str">
        <x:v>SF Task/Event/Deadline/Chatter、週次全件おろし、DerivedEvent構想</x:v>
      </x:c>
      <x:c r="I151" s="49" t="str">
        <x:v>SF Task/Event/Chatter、週次会議、事務作業動画</x:v>
      </x:c>
      <x:c r="J151" s="49" t="str">
        <x:v>全員</x:v>
      </x:c>
      <x:c r="K151" s="49" t="str">
        <x:v>P2</x:v>
      </x:c>
      <x:c r="L151" s="49" t="str">
        <x:v>一部可</x:v>
      </x:c>
      <x:c r="M151" s="49" t="str">
        <x:v>未回答</x:v>
      </x:c>
      <x:c r="N151" s="49" t="str"/>
      <x:c r="O151" s="49" t="str"/>
      <x:c r="P151" s="49" t="str"/>
    </x:row>
    <x:row r="152">
      <x:c r="A152" s="49" t="str">
        <x:v>Q-148</x:v>
      </x:c>
      <x:c r="B152" s="49" t="str">
        <x:v>07_案件計画・日常処理</x:v>
      </x:c>
      <x:c r="C152" s="49" t="str">
        <x:v>WF-13〜WF-18</x:v>
      </x:c>
      <x:c r="D152" s="49" t="str">
        <x:v>実態/証跡</x:v>
      </x:c>
      <x:c r="E152" s="49" t="str">
        <x:v>放置案件を何日無活動で警告し、活動の定義を何としますか。</x:v>
      </x:c>
      <x:c r="F152" s="49" t="str">
        <x:v>常に次行動・担当・期限・待ち先を明示し、放置と属人化を減らすため</x:v>
      </x:c>
      <x:c r="G152" s="49" t="str">
        <x:v>数値＋単位</x:v>
      </x:c>
      <x:c r="H152" s="49" t="str">
        <x:v>SF Task/Event/Deadline/Chatter、週次全件おろし、DerivedEvent構想</x:v>
      </x:c>
      <x:c r="I152" s="49" t="str">
        <x:v>SF Task/Event/Chatter、週次会議、事務作業動画</x:v>
      </x:c>
      <x:c r="J152" s="49" t="str">
        <x:v>全員</x:v>
      </x:c>
      <x:c r="K152" s="49" t="str">
        <x:v>P2</x:v>
      </x:c>
      <x:c r="L152" s="49" t="str">
        <x:v>一部可</x:v>
      </x:c>
      <x:c r="M152" s="49" t="str">
        <x:v>未回答</x:v>
      </x:c>
      <x:c r="N152" s="49" t="str"/>
      <x:c r="O152" s="49" t="str"/>
      <x:c r="P152" s="49" t="str"/>
    </x:row>
    <x:row r="153">
      <x:c r="A153" s="49" t="str">
        <x:v>Q-149</x:v>
      </x:c>
      <x:c r="B153" s="49" t="str">
        <x:v>07_案件計画・日常処理</x:v>
      </x:c>
      <x:c r="C153" s="49" t="str">
        <x:v>WF-13〜WF-18</x:v>
      </x:c>
      <x:c r="D153" s="49" t="str">
        <x:v>実態/証跡</x:v>
      </x:c>
      <x:c r="E153" s="49" t="str">
        <x:v>案件内で複数手続（交渉→調停→訴訟）を独立して管理しますか。</x:v>
      </x:c>
      <x:c r="F153" s="49" t="str">
        <x:v>常に次行動・担当・期限・待ち先を明示し、放置と属人化を減らすため</x:v>
      </x:c>
      <x:c r="G153" s="49" t="str">
        <x:v>Yes/No＋条件・例外</x:v>
      </x:c>
      <x:c r="H153" s="49" t="str">
        <x:v>SF Task/Event/Deadline/Chatter、週次全件おろし、DerivedEvent構想</x:v>
      </x:c>
      <x:c r="I153" s="49" t="str">
        <x:v>SF Task/Event/Chatter、週次会議、事務作業動画</x:v>
      </x:c>
      <x:c r="J153" s="49" t="str">
        <x:v>全員</x:v>
      </x:c>
      <x:c r="K153" s="49" t="str">
        <x:v>P2</x:v>
      </x:c>
      <x:c r="L153" s="49" t="str">
        <x:v>一部可</x:v>
      </x:c>
      <x:c r="M153" s="49" t="str">
        <x:v>未回答</x:v>
      </x:c>
      <x:c r="N153" s="49" t="str"/>
      <x:c r="O153" s="49" t="str"/>
      <x:c r="P153" s="49" t="str"/>
    </x:row>
    <x:row r="154">
      <x:c r="A154" s="49" t="str">
        <x:v>Q-150</x:v>
      </x:c>
      <x:c r="B154" s="49" t="str">
        <x:v>07_案件計画・日常処理</x:v>
      </x:c>
      <x:c r="C154" s="49" t="str">
        <x:v>WF-13〜WF-18</x:v>
      </x:c>
      <x:c r="D154" s="49" t="str">
        <x:v>実態/証跡</x:v>
      </x:c>
      <x:c r="E154" s="49" t="str">
        <x:v>作業の根拠となった資料・法令・判例・文献を成果物へ紐付けますか。</x:v>
      </x:c>
      <x:c r="F154" s="49" t="str">
        <x:v>常に次行動・担当・期限・待ち先を明示し、放置と属人化を減らすため</x:v>
      </x:c>
      <x:c r="G154" s="49" t="str">
        <x:v>Yes/No＋条件・例外</x:v>
      </x:c>
      <x:c r="H154" s="49" t="str">
        <x:v>SF Task/Event/Deadline/Chatter、週次全件おろし、DerivedEvent構想</x:v>
      </x:c>
      <x:c r="I154" s="49" t="str">
        <x:v>SF Task/Event/Chatter、週次会議、事務作業動画</x:v>
      </x:c>
      <x:c r="J154" s="49" t="str">
        <x:v>全員</x:v>
      </x:c>
      <x:c r="K154" s="49" t="str">
        <x:v>P2</x:v>
      </x:c>
      <x:c r="L154" s="49" t="str">
        <x:v>一部可</x:v>
      </x:c>
      <x:c r="M154" s="49" t="str">
        <x:v>未回答</x:v>
      </x:c>
      <x:c r="N154" s="49" t="str"/>
      <x:c r="O154" s="49" t="str"/>
      <x:c r="P154" s="49" t="str"/>
    </x:row>
    <x:row r="155">
      <x:c r="A155" s="49" t="str">
        <x:v>Q-151</x:v>
      </x:c>
      <x:c r="B155" s="49" t="str">
        <x:v>07_案件計画・日常処理</x:v>
      </x:c>
      <x:c r="C155" s="49" t="str">
        <x:v>WF-13〜WF-18</x:v>
      </x:c>
      <x:c r="D155" s="49" t="str">
        <x:v>定義/ルール</x:v>
      </x:c>
      <x:c r="E155" s="49" t="str">
        <x:v>手戻りの理由を、資料不足、方針変更、レビュー指摘、外部変更等に分類しますか。</x:v>
      </x:c>
      <x:c r="F155" s="49" t="str">
        <x:v>常に次行動・担当・期限・待ち先を明示し、放置と属人化を減らすため</x:v>
      </x:c>
      <x:c r="G155" s="49" t="str">
        <x:v>Yes/No＋条件・例外</x:v>
      </x:c>
      <x:c r="H155" s="49" t="str">
        <x:v>SF Task/Event/Deadline/Chatter、週次全件おろし、DerivedEvent構想</x:v>
      </x:c>
      <x:c r="I155" s="49" t="str">
        <x:v>SF Task/Event/Chatter、週次会議、事務作業動画</x:v>
      </x:c>
      <x:c r="J155" s="49" t="str">
        <x:v>全員</x:v>
      </x:c>
      <x:c r="K155" s="49" t="str">
        <x:v>P2</x:v>
      </x:c>
      <x:c r="L155" s="49" t="str">
        <x:v>聴取必須</x:v>
      </x:c>
      <x:c r="M155" s="49" t="str">
        <x:v>未回答</x:v>
      </x:c>
      <x:c r="N155" s="49" t="str"/>
      <x:c r="O155" s="49" t="str"/>
      <x:c r="P155" s="49" t="str"/>
    </x:row>
    <x:row r="156">
      <x:c r="A156" s="49" t="str">
        <x:v>Q-152</x:v>
      </x:c>
      <x:c r="B156" s="49" t="str">
        <x:v>07_案件計画・日常処理</x:v>
      </x:c>
      <x:c r="C156" s="49" t="str">
        <x:v>WF-13〜WF-18</x:v>
      </x:c>
      <x:c r="D156" s="49" t="str">
        <x:v>実態/証跡</x:v>
      </x:c>
      <x:c r="E156" s="49" t="str">
        <x:v>依頼者への進捗報告の頻度・様式・証跡をどうしますか。</x:v>
      </x:c>
      <x:c r="F156" s="49" t="str">
        <x:v>常に次行動・担当・期限・待ち先を明示し、放置と属人化を減らすため</x:v>
      </x:c>
      <x:c r="G156" s="49" t="str">
        <x:v>数値＋単位</x:v>
      </x:c>
      <x:c r="H156" s="49" t="str">
        <x:v>SF Task/Event/Deadline/Chatter、週次全件おろし、DerivedEvent構想</x:v>
      </x:c>
      <x:c r="I156" s="49" t="str">
        <x:v>SF Task/Event/Chatter、週次会議、事務作業動画</x:v>
      </x:c>
      <x:c r="J156" s="49" t="str">
        <x:v>全員</x:v>
      </x:c>
      <x:c r="K156" s="49" t="str">
        <x:v>P2</x:v>
      </x:c>
      <x:c r="L156" s="49" t="str">
        <x:v>一部可</x:v>
      </x:c>
      <x:c r="M156" s="49" t="str">
        <x:v>未回答</x:v>
      </x:c>
      <x:c r="N156" s="49" t="str"/>
      <x:c r="O156" s="49" t="str"/>
      <x:c r="P156" s="49" t="str"/>
    </x:row>
    <x:row r="157">
      <x:c r="A157" s="49" t="str">
        <x:v>Q-153</x:v>
      </x:c>
      <x:c r="B157" s="49" t="str">
        <x:v>07_案件計画・日常処理</x:v>
      </x:c>
      <x:c r="C157" s="49" t="str">
        <x:v>WF-13〜WF-18</x:v>
      </x:c>
      <x:c r="D157" s="49" t="str">
        <x:v>実態/証跡</x:v>
      </x:c>
      <x:c r="E157" s="49" t="str">
        <x:v>案件途中で委任範囲が広がる場合、追加見積・契約変更をどのトリガーで起こしますか。</x:v>
      </x:c>
      <x:c r="F157" s="49" t="str">
        <x:v>常に次行動・担当・期限・待ち先を明示し、放置と属人化を減らすため</x:v>
      </x:c>
      <x:c r="G157" s="49" t="str">
        <x:v>Yes/No＋条件・例外</x:v>
      </x:c>
      <x:c r="H157" s="49" t="str">
        <x:v>SF Task/Event/Deadline/Chatter、週次全件おろし、DerivedEvent構想</x:v>
      </x:c>
      <x:c r="I157" s="49" t="str">
        <x:v>SF Task/Event/Chatter、週次会議、事務作業動画</x:v>
      </x:c>
      <x:c r="J157" s="49" t="str">
        <x:v>全員</x:v>
      </x:c>
      <x:c r="K157" s="49" t="str">
        <x:v>P2</x:v>
      </x:c>
      <x:c r="L157" s="49" t="str">
        <x:v>一部可</x:v>
      </x:c>
      <x:c r="M157" s="49" t="str">
        <x:v>未回答</x:v>
      </x:c>
      <x:c r="N157" s="49" t="str"/>
      <x:c r="O157" s="49" t="str"/>
      <x:c r="P157" s="49" t="str"/>
    </x:row>
    <x:row r="158">
      <x:c r="A158" s="49" t="str">
        <x:v>Q-154</x:v>
      </x:c>
      <x:c r="B158" s="49" t="str">
        <x:v>07_案件計画・日常処理</x:v>
      </x:c>
      <x:c r="C158" s="49" t="str">
        <x:v>WF-13〜WF-18</x:v>
      </x:c>
      <x:c r="D158" s="49" t="str">
        <x:v>実態/証跡</x:v>
      </x:c>
      <x:c r="E158" s="49" t="str">
        <x:v>タスク完了の定義は、作業完了、レビュー完了、送付完了、外部受領のどれですか。</x:v>
      </x:c>
      <x:c r="F158" s="49" t="str">
        <x:v>常に次行動・担当・期限・待ち先を明示し、放置と属人化を減らすため</x:v>
      </x:c>
      <x:c r="G158" s="49" t="str">
        <x:v>Yes/No＋条件・例外</x:v>
      </x:c>
      <x:c r="H158" s="49" t="str">
        <x:v>SF Task/Event/Deadline/Chatter、週次全件おろし、DerivedEvent構想</x:v>
      </x:c>
      <x:c r="I158" s="49" t="str">
        <x:v>SF Task/Event/Chatter、週次会議、事務作業動画</x:v>
      </x:c>
      <x:c r="J158" s="49" t="str">
        <x:v>全員</x:v>
      </x:c>
      <x:c r="K158" s="49" t="str">
        <x:v>P2</x:v>
      </x:c>
      <x:c r="L158" s="49" t="str">
        <x:v>一部可</x:v>
      </x:c>
      <x:c r="M158" s="49" t="str">
        <x:v>未回答</x:v>
      </x:c>
      <x:c r="N158" s="49" t="str"/>
      <x:c r="O158" s="49" t="str"/>
      <x:c r="P158" s="49" t="str"/>
    </x:row>
    <x:row r="159">
      <x:c r="A159" s="49" t="str">
        <x:v>Q-155</x:v>
      </x:c>
      <x:c r="B159" s="49" t="str">
        <x:v>07_案件計画・日常処理</x:v>
      </x:c>
      <x:c r="C159" s="49" t="str">
        <x:v>WF-13〜WF-18</x:v>
      </x:c>
      <x:c r="D159" s="49" t="str">
        <x:v>実態/証跡</x:v>
      </x:c>
      <x:c r="E159" s="49" t="str">
        <x:v>AIが作成したタスク・状態候補を一括承認できる単位は何ですか。</x:v>
      </x:c>
      <x:c r="F159" s="49" t="str">
        <x:v>常に次行動・担当・期限・待ち先を明示し、放置と属人化を減らすため</x:v>
      </x:c>
      <x:c r="G159" s="49" t="str">
        <x:v>Yes/No＋条件・例外</x:v>
      </x:c>
      <x:c r="H159" s="49" t="str">
        <x:v>SF Task/Event/Deadline/Chatter、週次全件おろし、DerivedEvent構想</x:v>
      </x:c>
      <x:c r="I159" s="49" t="str">
        <x:v>SF Task/Event/Chatter、週次会議、事務作業動画</x:v>
      </x:c>
      <x:c r="J159" s="49" t="str">
        <x:v>全員</x:v>
      </x:c>
      <x:c r="K159" s="49" t="str">
        <x:v>P2</x:v>
      </x:c>
      <x:c r="L159" s="49" t="str">
        <x:v>一部可</x:v>
      </x:c>
      <x:c r="M159" s="49" t="str">
        <x:v>未回答</x:v>
      </x:c>
      <x:c r="N159" s="49" t="str"/>
      <x:c r="O159" s="49" t="str"/>
      <x:c r="P159" s="49" t="str"/>
    </x:row>
    <x:row r="160">
      <x:c r="A160" s="49" t="str">
        <x:v>Q-156</x:v>
      </x:c>
      <x:c r="B160" s="49" t="str">
        <x:v>08_文書・成果物・納品</x:v>
      </x:c>
      <x:c r="C160" s="49" t="str">
        <x:v>WF-06〜WF-22</x:v>
      </x:c>
      <x:c r="D160" s="49" t="str">
        <x:v>実態/証跡</x:v>
      </x:c>
      <x:c r="E160" s="49" t="str">
        <x:v>事務所で扱う文書種別を、受領、作業中、内部、対外、裁判所、会計、終結に分けて列挙できますか。</x:v>
      </x:c>
      <x:c r="F160" s="49" t="str">
        <x:v>版、承認、送付、到達、保管をファイル名に依存せず管理するため</x:v>
      </x:c>
      <x:c r="G160" s="49" t="str">
        <x:v>複数選択＋自由記述</x:v>
      </x:c>
      <x:c r="H160" s="49" t="str">
        <x:v>Box案件フォルダ、文書種別フォルダ、メール/MINTS/FAX/郵送</x:v>
      </x:c>
      <x:c r="I160" s="49" t="str">
        <x:v>Boxサンプル、送信メール、MINTS/FAX/郵便証跡</x:v>
      </x:c>
      <x:c r="J160" s="49" t="str">
        <x:v>全員</x:v>
      </x:c>
      <x:c r="K160" s="49" t="str">
        <x:v>P0</x:v>
      </x:c>
      <x:c r="L160" s="49" t="str">
        <x:v>一部可</x:v>
      </x:c>
      <x:c r="M160" s="49" t="str">
        <x:v>未回答</x:v>
      </x:c>
      <x:c r="N160" s="49" t="str"/>
      <x:c r="O160" s="49" t="str"/>
      <x:c r="P160" s="49" t="str"/>
    </x:row>
    <x:row r="161">
      <x:c r="A161" s="49" t="str">
        <x:v>Q-157</x:v>
      </x:c>
      <x:c r="B161" s="49" t="str">
        <x:v>08_文書・成果物・納品</x:v>
      </x:c>
      <x:c r="C161" s="49" t="str">
        <x:v>WF-06〜WF-22</x:v>
      </x:c>
      <x:c r="D161" s="49" t="str">
        <x:v>実態/証跡</x:v>
      </x:c>
      <x:c r="E161" s="49" t="str">
        <x:v>文書の正本は常にBoxとし、Salesforceにはリンクとメタデータだけを置きますか。</x:v>
      </x:c>
      <x:c r="F161" s="49" t="str">
        <x:v>版、承認、送付、到達、保管をファイル名に依存せず管理するため</x:v>
      </x:c>
      <x:c r="G161" s="49" t="str">
        <x:v>Yes/No＋条件・例外</x:v>
      </x:c>
      <x:c r="H161" s="49" t="str">
        <x:v>Box案件フォルダ、文書種別フォルダ、メール/MINTS/FAX/郵送</x:v>
      </x:c>
      <x:c r="I161" s="49" t="str">
        <x:v>Boxサンプル、送信メール、MINTS/FAX/郵便証跡</x:v>
      </x:c>
      <x:c r="J161" s="49" t="str">
        <x:v>全員</x:v>
      </x:c>
      <x:c r="K161" s="49" t="str">
        <x:v>P0</x:v>
      </x:c>
      <x:c r="L161" s="49" t="str">
        <x:v>一部可</x:v>
      </x:c>
      <x:c r="M161" s="49" t="str">
        <x:v>未回答</x:v>
      </x:c>
      <x:c r="N161" s="49" t="str"/>
      <x:c r="O161" s="49" t="str"/>
      <x:c r="P161" s="49" t="str"/>
    </x:row>
    <x:row r="162">
      <x:c r="A162" s="49" t="str">
        <x:v>Q-158</x:v>
      </x:c>
      <x:c r="B162" s="49" t="str">
        <x:v>08_文書・成果物・納品</x:v>
      </x:c>
      <x:c r="C162" s="49" t="str">
        <x:v>WF-06〜WF-22</x:v>
      </x:c>
      <x:c r="D162" s="49" t="str">
        <x:v>実態/証跡</x:v>
      </x:c>
      <x:c r="E162" s="49" t="str">
        <x:v>Box file_idとversion_idを文書の不変識別子として扱いますか。</x:v>
      </x:c>
      <x:c r="F162" s="49" t="str">
        <x:v>版、承認、送付、到達、保管をファイル名に依存せず管理するため</x:v>
      </x:c>
      <x:c r="G162" s="49" t="str">
        <x:v>Yes/No＋条件・例外</x:v>
      </x:c>
      <x:c r="H162" s="49" t="str">
        <x:v>Box案件フォルダ、文書種別フォルダ、メール/MINTS/FAX/郵送</x:v>
      </x:c>
      <x:c r="I162" s="49" t="str">
        <x:v>Boxサンプル、送信メール、MINTS/FAX/郵便証跡</x:v>
      </x:c>
      <x:c r="J162" s="49" t="str">
        <x:v>全員</x:v>
      </x:c>
      <x:c r="K162" s="49" t="str">
        <x:v>P1</x:v>
      </x:c>
      <x:c r="L162" s="49" t="str">
        <x:v>一部可</x:v>
      </x:c>
      <x:c r="M162" s="49" t="str">
        <x:v>未回答</x:v>
      </x:c>
      <x:c r="N162" s="49" t="str"/>
      <x:c r="O162" s="49" t="str"/>
      <x:c r="P162" s="49" t="str"/>
    </x:row>
    <x:row r="163">
      <x:c r="A163" s="49" t="str">
        <x:v>Q-159</x:v>
      </x:c>
      <x:c r="B163" s="49" t="str">
        <x:v>08_文書・成果物・納品</x:v>
      </x:c>
      <x:c r="C163" s="49" t="str">
        <x:v>WF-06〜WF-22</x:v>
      </x:c>
      <x:c r="D163" s="49" t="str">
        <x:v>実態/証跡</x:v>
      </x:c>
      <x:c r="E163" s="49" t="str">
        <x:v>ファイル名に日付・文書種別・相手方・案件IDの何を含めますか。</x:v>
      </x:c>
      <x:c r="F163" s="49" t="str">
        <x:v>版、承認、送付、到達、保管をファイル名に依存せず管理するため</x:v>
      </x:c>
      <x:c r="G163" s="49" t="str">
        <x:v>Yes/No＋条件・例外</x:v>
      </x:c>
      <x:c r="H163" s="49" t="str">
        <x:v>Box案件フォルダ、文書種別フォルダ、メール/MINTS/FAX/郵送</x:v>
      </x:c>
      <x:c r="I163" s="49" t="str">
        <x:v>Boxサンプル、送信メール、MINTS/FAX/郵便証跡</x:v>
      </x:c>
      <x:c r="J163" s="49" t="str">
        <x:v>全員</x:v>
      </x:c>
      <x:c r="K163" s="49" t="str">
        <x:v>P1</x:v>
      </x:c>
      <x:c r="L163" s="49" t="str">
        <x:v>一部可</x:v>
      </x:c>
      <x:c r="M163" s="49" t="str">
        <x:v>未回答</x:v>
      </x:c>
      <x:c r="N163" s="49" t="str"/>
      <x:c r="O163" s="49" t="str"/>
      <x:c r="P163" s="49" t="str"/>
    </x:row>
    <x:row r="164">
      <x:c r="A164" s="49" t="str">
        <x:v>Q-160</x:v>
      </x:c>
      <x:c r="B164" s="49" t="str">
        <x:v>08_文書・成果物・納品</x:v>
      </x:c>
      <x:c r="C164" s="49" t="str">
        <x:v>WF-06〜WF-22</x:v>
      </x:c>
      <x:c r="D164" s="49" t="str">
        <x:v>実態/証跡</x:v>
      </x:c>
      <x:c r="E164" s="49" t="str">
        <x:v>ファイル名ではなくBoxメタデータで必須にする項目は何ですか。</x:v>
      </x:c>
      <x:c r="F164" s="49" t="str">
        <x:v>版、承認、送付、到達、保管をファイル名に依存せず管理するため</x:v>
      </x:c>
      <x:c r="G164" s="49" t="str">
        <x:v>Yes/No＋条件・例外</x:v>
      </x:c>
      <x:c r="H164" s="49" t="str">
        <x:v>Box案件フォルダ、文書種別フォルダ、メール/MINTS/FAX/郵送</x:v>
      </x:c>
      <x:c r="I164" s="49" t="str">
        <x:v>Boxサンプル、送信メール、MINTS/FAX/郵便証跡</x:v>
      </x:c>
      <x:c r="J164" s="49" t="str">
        <x:v>全員</x:v>
      </x:c>
      <x:c r="K164" s="49" t="str">
        <x:v>P0</x:v>
      </x:c>
      <x:c r="L164" s="49" t="str">
        <x:v>一部可</x:v>
      </x:c>
      <x:c r="M164" s="49" t="str">
        <x:v>未回答</x:v>
      </x:c>
      <x:c r="N164" s="49" t="str"/>
      <x:c r="O164" s="49" t="str"/>
      <x:c r="P164" s="49" t="str"/>
    </x:row>
    <x:row r="165">
      <x:c r="A165" s="49" t="str">
        <x:v>Q-161</x:v>
      </x:c>
      <x:c r="B165" s="49" t="str">
        <x:v>08_文書・成果物・納品</x:v>
      </x:c>
      <x:c r="C165" s="49" t="str">
        <x:v>WF-06〜WF-22</x:v>
      </x:c>
      <x:c r="D165" s="49" t="str">
        <x:v>実態/証跡</x:v>
      </x:c>
      <x:c r="E165" s="49" t="str">
        <x:v>Word等のネイティブ版とPDF版をどう対応付けますか。</x:v>
      </x:c>
      <x:c r="F165" s="49" t="str">
        <x:v>版、承認、送付、到達、保管をファイル名に依存せず管理するため</x:v>
      </x:c>
      <x:c r="G165" s="49" t="str">
        <x:v>Yes/No＋条件・例外</x:v>
      </x:c>
      <x:c r="H165" s="49" t="str">
        <x:v>Box案件フォルダ、文書種別フォルダ、メール/MINTS/FAX/郵送</x:v>
      </x:c>
      <x:c r="I165" s="49" t="str">
        <x:v>Boxサンプル、送信メール、MINTS/FAX/郵便証跡</x:v>
      </x:c>
      <x:c r="J165" s="49" t="str">
        <x:v>全員</x:v>
      </x:c>
      <x:c r="K165" s="49" t="str">
        <x:v>P1</x:v>
      </x:c>
      <x:c r="L165" s="49" t="str">
        <x:v>一部可</x:v>
      </x:c>
      <x:c r="M165" s="49" t="str">
        <x:v>未回答</x:v>
      </x:c>
      <x:c r="N165" s="49" t="str"/>
      <x:c r="O165" s="49" t="str"/>
      <x:c r="P165" s="49" t="str"/>
    </x:row>
    <x:row r="166">
      <x:c r="A166" s="49" t="str">
        <x:v>Q-162</x:v>
      </x:c>
      <x:c r="B166" s="49" t="str">
        <x:v>08_文書・成果物・納品</x:v>
      </x:c>
      <x:c r="C166" s="49" t="str">
        <x:v>WF-06〜WF-22</x:v>
      </x:c>
      <x:c r="D166" s="49" t="str">
        <x:v>実態/証跡</x:v>
      </x:c>
      <x:c r="E166" s="49" t="str">
        <x:v>OCRなし、OCR済み、構造化済み、要約済みを別状態で管理しますか。</x:v>
      </x:c>
      <x:c r="F166" s="49" t="str">
        <x:v>版、承認、送付、到達、保管をファイル名に依存せず管理するため</x:v>
      </x:c>
      <x:c r="G166" s="49" t="str">
        <x:v>Yes/No＋条件・例外</x:v>
      </x:c>
      <x:c r="H166" s="49" t="str">
        <x:v>Box案件フォルダ、文書種別フォルダ、メール/MINTS/FAX/郵送</x:v>
      </x:c>
      <x:c r="I166" s="49" t="str">
        <x:v>Boxサンプル、送信メール、MINTS/FAX/郵便証跡</x:v>
      </x:c>
      <x:c r="J166" s="49" t="str">
        <x:v>全員</x:v>
      </x:c>
      <x:c r="K166" s="49" t="str">
        <x:v>P1</x:v>
      </x:c>
      <x:c r="L166" s="49" t="str">
        <x:v>一部可</x:v>
      </x:c>
      <x:c r="M166" s="49" t="str">
        <x:v>未回答</x:v>
      </x:c>
      <x:c r="N166" s="49" t="str"/>
      <x:c r="O166" s="49" t="str"/>
      <x:c r="P166" s="49" t="str"/>
    </x:row>
    <x:row r="167">
      <x:c r="A167" s="49" t="str">
        <x:v>Q-163</x:v>
      </x:c>
      <x:c r="B167" s="49" t="str">
        <x:v>08_文書・成果物・納品</x:v>
      </x:c>
      <x:c r="C167" s="49" t="str">
        <x:v>WF-06〜WF-22</x:v>
      </x:c>
      <x:c r="D167" s="49" t="str">
        <x:v>実態/証跡</x:v>
      </x:c>
      <x:c r="E167" s="49" t="str">
        <x:v>文書状態を受領、分類済、ドラフト、内部レビュー、顧客レビュー、承認、送付、提出、受理、廃版、保存に分けますか。</x:v>
      </x:c>
      <x:c r="F167" s="49" t="str">
        <x:v>版、承認、送付、到達、保管をファイル名に依存せず管理するため</x:v>
      </x:c>
      <x:c r="G167" s="49" t="str">
        <x:v>Yes/No＋条件・例外</x:v>
      </x:c>
      <x:c r="H167" s="49" t="str">
        <x:v>Box案件フォルダ、文書種別フォルダ、メール/MINTS/FAX/郵送</x:v>
      </x:c>
      <x:c r="I167" s="49" t="str">
        <x:v>Boxサンプル、送信メール、MINTS/FAX/郵便証跡</x:v>
      </x:c>
      <x:c r="J167" s="49" t="str">
        <x:v>全員</x:v>
      </x:c>
      <x:c r="K167" s="49" t="str">
        <x:v>P1</x:v>
      </x:c>
      <x:c r="L167" s="49" t="str">
        <x:v>一部可</x:v>
      </x:c>
      <x:c r="M167" s="49" t="str">
        <x:v>未回答</x:v>
      </x:c>
      <x:c r="N167" s="49" t="str"/>
      <x:c r="O167" s="49" t="str"/>
      <x:c r="P167" s="49" t="str"/>
    </x:row>
    <x:row r="168">
      <x:c r="A168" s="49" t="str">
        <x:v>Q-164</x:v>
      </x:c>
      <x:c r="B168" s="49" t="str">
        <x:v>08_文書・成果物・納品</x:v>
      </x:c>
      <x:c r="C168" s="49" t="str">
        <x:v>WF-06〜WF-22</x:v>
      </x:c>
      <x:c r="D168" s="49" t="str">
        <x:v>定義/ルール</x:v>
      </x:c>
      <x:c r="E168" s="49" t="str">
        <x:v>ドラフトと最終版を誰が確定し、ファイル名の『最終』に依存しない仕組みにしますか。</x:v>
      </x:c>
      <x:c r="F168" s="49" t="str">
        <x:v>版、承認、送付、到達、保管をファイル名に依存せず管理するため</x:v>
      </x:c>
      <x:c r="G168" s="49" t="str">
        <x:v>役割選択＋責任者</x:v>
      </x:c>
      <x:c r="H168" s="49" t="str">
        <x:v>Box案件フォルダ、文書種別フォルダ、メール/MINTS/FAX/郵送</x:v>
      </x:c>
      <x:c r="I168" s="49" t="str">
        <x:v>Boxサンプル、送信メール、MINTS/FAX/郵便証跡</x:v>
      </x:c>
      <x:c r="J168" s="49" t="str">
        <x:v>全員</x:v>
      </x:c>
      <x:c r="K168" s="49" t="str">
        <x:v>P1</x:v>
      </x:c>
      <x:c r="L168" s="49" t="str">
        <x:v>聴取必須</x:v>
      </x:c>
      <x:c r="M168" s="49" t="str">
        <x:v>未回答</x:v>
      </x:c>
      <x:c r="N168" s="49" t="str"/>
      <x:c r="O168" s="49" t="str"/>
      <x:c r="P168" s="49" t="str"/>
    </x:row>
    <x:row r="169">
      <x:c r="A169" s="49" t="str">
        <x:v>Q-165</x:v>
      </x:c>
      <x:c r="B169" s="49" t="str">
        <x:v>08_文書・成果物・納品</x:v>
      </x:c>
      <x:c r="C169" s="49" t="str">
        <x:v>WF-06〜WF-22</x:v>
      </x:c>
      <x:c r="D169" s="49" t="str">
        <x:v>実態/証跡</x:v>
      </x:c>
      <x:c r="E169" s="49" t="str">
        <x:v>内部レビューのレベル（担当者セルフ、別弁護士、代表）を成果物類型ごとに決めますか。</x:v>
      </x:c>
      <x:c r="F169" s="49" t="str">
        <x:v>版、承認、送付、到達、保管をファイル名に依存せず管理するため</x:v>
      </x:c>
      <x:c r="G169" s="49" t="str">
        <x:v>Yes/No＋条件・例外</x:v>
      </x:c>
      <x:c r="H169" s="49" t="str">
        <x:v>Box案件フォルダ、文書種別フォルダ、メール/MINTS/FAX/郵送</x:v>
      </x:c>
      <x:c r="I169" s="49" t="str">
        <x:v>Boxサンプル、送信メール、MINTS/FAX/郵便証跡</x:v>
      </x:c>
      <x:c r="J169" s="49" t="str">
        <x:v>全員</x:v>
      </x:c>
      <x:c r="K169" s="49" t="str">
        <x:v>P1</x:v>
      </x:c>
      <x:c r="L169" s="49" t="str">
        <x:v>一部可</x:v>
      </x:c>
      <x:c r="M169" s="49" t="str">
        <x:v>未回答</x:v>
      </x:c>
      <x:c r="N169" s="49" t="str"/>
      <x:c r="O169" s="49" t="str"/>
      <x:c r="P169" s="49" t="str"/>
    </x:row>
    <x:row r="170">
      <x:c r="A170" s="49" t="str">
        <x:v>Q-166</x:v>
      </x:c>
      <x:c r="B170" s="49" t="str">
        <x:v>08_文書・成果物・納品</x:v>
      </x:c>
      <x:c r="C170" s="49" t="str">
        <x:v>WF-06〜WF-22</x:v>
      </x:c>
      <x:c r="D170" s="49" t="str">
        <x:v>実態/証跡</x:v>
      </x:c>
      <x:c r="E170" s="49" t="str">
        <x:v>顧客確認が必要な文書と不要な文書をどう区別しますか。</x:v>
      </x:c>
      <x:c r="F170" s="49" t="str">
        <x:v>版、承認、送付、到達、保管をファイル名に依存せず管理するため</x:v>
      </x:c>
      <x:c r="G170" s="49" t="str">
        <x:v>Yes/No＋条件・例外</x:v>
      </x:c>
      <x:c r="H170" s="49" t="str">
        <x:v>Box案件フォルダ、文書種別フォルダ、メール/MINTS/FAX/郵送</x:v>
      </x:c>
      <x:c r="I170" s="49" t="str">
        <x:v>Boxサンプル、送信メール、MINTS/FAX/郵便証跡</x:v>
      </x:c>
      <x:c r="J170" s="49" t="str">
        <x:v>全員</x:v>
      </x:c>
      <x:c r="K170" s="49" t="str">
        <x:v>P1</x:v>
      </x:c>
      <x:c r="L170" s="49" t="str">
        <x:v>一部可</x:v>
      </x:c>
      <x:c r="M170" s="49" t="str">
        <x:v>未回答</x:v>
      </x:c>
      <x:c r="N170" s="49" t="str"/>
      <x:c r="O170" s="49" t="str"/>
      <x:c r="P170" s="49" t="str"/>
    </x:row>
    <x:row r="171">
      <x:c r="A171" s="49" t="str">
        <x:v>Q-167</x:v>
      </x:c>
      <x:c r="B171" s="49" t="str">
        <x:v>08_文書・成果物・納品</x:v>
      </x:c>
      <x:c r="C171" s="49" t="str">
        <x:v>WF-06〜WF-22</x:v>
      </x:c>
      <x:c r="D171" s="49" t="str">
        <x:v>実態/証跡</x:v>
      </x:c>
      <x:c r="E171" s="49" t="str">
        <x:v>顧客が承認した版と実際に送付・提出した版の一致をどう検証しますか。</x:v>
      </x:c>
      <x:c r="F171" s="49" t="str">
        <x:v>版、承認、送付、到達、保管をファイル名に依存せず管理するため</x:v>
      </x:c>
      <x:c r="G171" s="49" t="str">
        <x:v>Yes/No＋条件・例外</x:v>
      </x:c>
      <x:c r="H171" s="49" t="str">
        <x:v>Box案件フォルダ、文書種別フォルダ、メール/MINTS/FAX/郵送</x:v>
      </x:c>
      <x:c r="I171" s="49" t="str">
        <x:v>Boxサンプル、送信メール、MINTS/FAX/郵便証跡</x:v>
      </x:c>
      <x:c r="J171" s="49" t="str">
        <x:v>全員</x:v>
      </x:c>
      <x:c r="K171" s="49" t="str">
        <x:v>P2</x:v>
      </x:c>
      <x:c r="L171" s="49" t="str">
        <x:v>一部可</x:v>
      </x:c>
      <x:c r="M171" s="49" t="str">
        <x:v>未回答</x:v>
      </x:c>
      <x:c r="N171" s="49" t="str"/>
      <x:c r="O171" s="49" t="str"/>
      <x:c r="P171" s="49" t="str"/>
    </x:row>
    <x:row r="172">
      <x:c r="A172" s="49" t="str">
        <x:v>Q-168</x:v>
      </x:c>
      <x:c r="B172" s="49" t="str">
        <x:v>08_文書・成果物・納品</x:v>
      </x:c>
      <x:c r="C172" s="49" t="str">
        <x:v>WF-06〜WF-22</x:v>
      </x:c>
      <x:c r="D172" s="49" t="str">
        <x:v>実態/証跡</x:v>
      </x:c>
      <x:c r="E172" s="49" t="str">
        <x:v>成果物の受領者、CC、送付方法、暗号化、パスワード別送をどこに記録しますか。</x:v>
      </x:c>
      <x:c r="F172" s="49" t="str">
        <x:v>版、承認、送付、到達、保管をファイル名に依存せず管理するため</x:v>
      </x:c>
      <x:c r="G172" s="49" t="str">
        <x:v>Yes/No＋条件・例外</x:v>
      </x:c>
      <x:c r="H172" s="49" t="str">
        <x:v>Box案件フォルダ、文書種別フォルダ、メール/MINTS/FAX/郵送</x:v>
      </x:c>
      <x:c r="I172" s="49" t="str">
        <x:v>Boxサンプル、送信メール、MINTS/FAX/郵便証跡</x:v>
      </x:c>
      <x:c r="J172" s="49" t="str">
        <x:v>全員</x:v>
      </x:c>
      <x:c r="K172" s="49" t="str">
        <x:v>P2</x:v>
      </x:c>
      <x:c r="L172" s="49" t="str">
        <x:v>一部可</x:v>
      </x:c>
      <x:c r="M172" s="49" t="str">
        <x:v>未回答</x:v>
      </x:c>
      <x:c r="N172" s="49" t="str"/>
      <x:c r="O172" s="49" t="str"/>
      <x:c r="P172" s="49" t="str"/>
    </x:row>
    <x:row r="173">
      <x:c r="A173" s="49" t="str">
        <x:v>Q-169</x:v>
      </x:c>
      <x:c r="B173" s="49" t="str">
        <x:v>08_文書・成果物・納品</x:v>
      </x:c>
      <x:c r="C173" s="49" t="str">
        <x:v>WF-06〜WF-22</x:v>
      </x:c>
      <x:c r="D173" s="49" t="str">
        <x:v>実態/証跡</x:v>
      </x:c>
      <x:c r="E173" s="49" t="str">
        <x:v>メール送信、Box共有、MINTS提出、FAX送信、郵送投函の証跡を共通形式にしますか。</x:v>
      </x:c>
      <x:c r="F173" s="49" t="str">
        <x:v>版、承認、送付、到達、保管をファイル名に依存せず管理するため</x:v>
      </x:c>
      <x:c r="G173" s="49" t="str">
        <x:v>Yes/No＋条件・例外</x:v>
      </x:c>
      <x:c r="H173" s="49" t="str">
        <x:v>Box案件フォルダ、文書種別フォルダ、メール/MINTS/FAX/郵送</x:v>
      </x:c>
      <x:c r="I173" s="49" t="str">
        <x:v>Boxサンプル、送信メール、MINTS/FAX/郵便証跡</x:v>
      </x:c>
      <x:c r="J173" s="49" t="str">
        <x:v>全員</x:v>
      </x:c>
      <x:c r="K173" s="49" t="str">
        <x:v>P2</x:v>
      </x:c>
      <x:c r="L173" s="49" t="str">
        <x:v>一部可</x:v>
      </x:c>
      <x:c r="M173" s="49" t="str">
        <x:v>未回答</x:v>
      </x:c>
      <x:c r="N173" s="49" t="str"/>
      <x:c r="O173" s="49" t="str"/>
      <x:c r="P173" s="49" t="str"/>
    </x:row>
    <x:row r="174">
      <x:c r="A174" s="49" t="str">
        <x:v>Q-170</x:v>
      </x:c>
      <x:c r="B174" s="49" t="str">
        <x:v>08_文書・成果物・納品</x:v>
      </x:c>
      <x:c r="C174" s="49" t="str">
        <x:v>WF-06〜WF-22</x:v>
      </x:c>
      <x:c r="D174" s="49" t="str">
        <x:v>実態/証跡</x:v>
      </x:c>
      <x:c r="E174" s="49" t="str">
        <x:v>『送った』と『相手に届いた/裁判所に受理された』を別イベントにしますか。</x:v>
      </x:c>
      <x:c r="F174" s="49" t="str">
        <x:v>版、承認、送付、到達、保管をファイル名に依存せず管理するため</x:v>
      </x:c>
      <x:c r="G174" s="49" t="str">
        <x:v>Yes/No＋条件・例外</x:v>
      </x:c>
      <x:c r="H174" s="49" t="str">
        <x:v>Box案件フォルダ、文書種別フォルダ、メール/MINTS/FAX/郵送</x:v>
      </x:c>
      <x:c r="I174" s="49" t="str">
        <x:v>Boxサンプル、送信メール、MINTS/FAX/郵便証跡</x:v>
      </x:c>
      <x:c r="J174" s="49" t="str">
        <x:v>全員</x:v>
      </x:c>
      <x:c r="K174" s="49" t="str">
        <x:v>P2</x:v>
      </x:c>
      <x:c r="L174" s="49" t="str">
        <x:v>一部可</x:v>
      </x:c>
      <x:c r="M174" s="49" t="str">
        <x:v>未回答</x:v>
      </x:c>
      <x:c r="N174" s="49" t="str"/>
      <x:c r="O174" s="49" t="str"/>
      <x:c r="P174" s="49" t="str"/>
    </x:row>
    <x:row r="175">
      <x:c r="A175" s="49" t="str">
        <x:v>Q-171</x:v>
      </x:c>
      <x:c r="B175" s="49" t="str">
        <x:v>08_文書・成果物・納品</x:v>
      </x:c>
      <x:c r="C175" s="49" t="str">
        <x:v>WF-06〜WF-22</x:v>
      </x:c>
      <x:c r="D175" s="49" t="str">
        <x:v>実態/証跡</x:v>
      </x:c>
      <x:c r="E175" s="49" t="str">
        <x:v>裁判所提出物の受付番号、到達時刻、補正・不受理をどう管理しますか。</x:v>
      </x:c>
      <x:c r="F175" s="49" t="str">
        <x:v>版、承認、送付、到達、保管をファイル名に依存せず管理するため</x:v>
      </x:c>
      <x:c r="G175" s="49" t="str">
        <x:v>Yes/No＋条件・例外</x:v>
      </x:c>
      <x:c r="H175" s="49" t="str">
        <x:v>Box案件フォルダ、文書種別フォルダ、メール/MINTS/FAX/郵送</x:v>
      </x:c>
      <x:c r="I175" s="49" t="str">
        <x:v>Boxサンプル、送信メール、MINTS/FAX/郵便証跡</x:v>
      </x:c>
      <x:c r="J175" s="49" t="str">
        <x:v>全員</x:v>
      </x:c>
      <x:c r="K175" s="49" t="str">
        <x:v>P2</x:v>
      </x:c>
      <x:c r="L175" s="49" t="str">
        <x:v>実査可</x:v>
      </x:c>
      <x:c r="M175" s="49" t="str">
        <x:v>未回答</x:v>
      </x:c>
      <x:c r="N175" s="49" t="str"/>
      <x:c r="O175" s="49" t="str"/>
      <x:c r="P175" s="49" t="str"/>
    </x:row>
    <x:row r="176">
      <x:c r="A176" s="49" t="str">
        <x:v>Q-172</x:v>
      </x:c>
      <x:c r="B176" s="49" t="str">
        <x:v>08_文書・成果物・納品</x:v>
      </x:c>
      <x:c r="C176" s="49" t="str">
        <x:v>WF-06〜WF-22</x:v>
      </x:c>
      <x:c r="D176" s="49" t="str">
        <x:v>実態/証跡</x:v>
      </x:c>
      <x:c r="E176" s="49" t="str">
        <x:v>顧客への納品物を単体ファイルでなくdeliverable packageとして束ねますか。</x:v>
      </x:c>
      <x:c r="F176" s="49" t="str">
        <x:v>版、承認、送付、到達、保管をファイル名に依存せず管理するため</x:v>
      </x:c>
      <x:c r="G176" s="49" t="str">
        <x:v>Yes/No＋条件・例外</x:v>
      </x:c>
      <x:c r="H176" s="49" t="str">
        <x:v>Box案件フォルダ、文書種別フォルダ、メール/MINTS/FAX/郵送</x:v>
      </x:c>
      <x:c r="I176" s="49" t="str">
        <x:v>Boxサンプル、送信メール、MINTS/FAX/郵便証跡</x:v>
      </x:c>
      <x:c r="J176" s="49" t="str">
        <x:v>全員</x:v>
      </x:c>
      <x:c r="K176" s="49" t="str">
        <x:v>P2</x:v>
      </x:c>
      <x:c r="L176" s="49" t="str">
        <x:v>一部可</x:v>
      </x:c>
      <x:c r="M176" s="49" t="str">
        <x:v>未回答</x:v>
      </x:c>
      <x:c r="N176" s="49" t="str"/>
      <x:c r="O176" s="49" t="str"/>
      <x:c r="P176" s="49" t="str"/>
    </x:row>
    <x:row r="177">
      <x:c r="A177" s="49" t="str">
        <x:v>Q-173</x:v>
      </x:c>
      <x:c r="B177" s="49" t="str">
        <x:v>08_文書・成果物・納品</x:v>
      </x:c>
      <x:c r="C177" s="49" t="str">
        <x:v>WF-06〜WF-22</x:v>
      </x:c>
      <x:c r="D177" s="49" t="str">
        <x:v>実態/証跡</x:v>
      </x:c>
      <x:c r="E177" s="49" t="str">
        <x:v>大量資料納品時にmanifest（一覧・hash・版・説明）を自動生成しますか。</x:v>
      </x:c>
      <x:c r="F177" s="49" t="str">
        <x:v>版、承認、送付、到達、保管をファイル名に依存せず管理するため</x:v>
      </x:c>
      <x:c r="G177" s="49" t="str">
        <x:v>Yes/No＋条件・例外</x:v>
      </x:c>
      <x:c r="H177" s="49" t="str">
        <x:v>Box案件フォルダ、文書種別フォルダ、メール/MINTS/FAX/郵送</x:v>
      </x:c>
      <x:c r="I177" s="49" t="str">
        <x:v>Boxサンプル、送信メール、MINTS/FAX/郵便証跡</x:v>
      </x:c>
      <x:c r="J177" s="49" t="str">
        <x:v>全員</x:v>
      </x:c>
      <x:c r="K177" s="49" t="str">
        <x:v>P2</x:v>
      </x:c>
      <x:c r="L177" s="49" t="str">
        <x:v>一部可</x:v>
      </x:c>
      <x:c r="M177" s="49" t="str">
        <x:v>未回答</x:v>
      </x:c>
      <x:c r="N177" s="49" t="str"/>
      <x:c r="O177" s="49" t="str"/>
      <x:c r="P177" s="49" t="str"/>
    </x:row>
    <x:row r="178">
      <x:c r="A178" s="49" t="str">
        <x:v>Q-174</x:v>
      </x:c>
      <x:c r="B178" s="49" t="str">
        <x:v>08_文書・成果物・納品</x:v>
      </x:c>
      <x:c r="C178" s="49" t="str">
        <x:v>WF-06〜WF-22</x:v>
      </x:c>
      <x:c r="D178" s="49" t="str">
        <x:v>実態/証跡</x:v>
      </x:c>
      <x:c r="E178" s="49" t="str">
        <x:v>墨消し・匿名化・個人情報チェックをどの成果物で必須にしますか。</x:v>
      </x:c>
      <x:c r="F178" s="49" t="str">
        <x:v>版、承認、送付、到達、保管をファイル名に依存せず管理するため</x:v>
      </x:c>
      <x:c r="G178" s="49" t="str">
        <x:v>Yes/No＋条件・例外</x:v>
      </x:c>
      <x:c r="H178" s="49" t="str">
        <x:v>Box案件フォルダ、文書種別フォルダ、メール/MINTS/FAX/郵送</x:v>
      </x:c>
      <x:c r="I178" s="49" t="str">
        <x:v>Boxサンプル、送信メール、MINTS/FAX/郵便証跡</x:v>
      </x:c>
      <x:c r="J178" s="49" t="str">
        <x:v>全員</x:v>
      </x:c>
      <x:c r="K178" s="49" t="str">
        <x:v>P0</x:v>
      </x:c>
      <x:c r="L178" s="49" t="str">
        <x:v>一部可</x:v>
      </x:c>
      <x:c r="M178" s="49" t="str">
        <x:v>未回答</x:v>
      </x:c>
      <x:c r="N178" s="49" t="str"/>
      <x:c r="O178" s="49" t="str"/>
      <x:c r="P178" s="49" t="str"/>
    </x:row>
    <x:row r="179">
      <x:c r="A179" s="49" t="str">
        <x:v>Q-175</x:v>
      </x:c>
      <x:c r="B179" s="49" t="str">
        <x:v>08_文書・成果物・納品</x:v>
      </x:c>
      <x:c r="C179" s="49" t="str">
        <x:v>WF-06〜WF-22</x:v>
      </x:c>
      <x:c r="D179" s="49" t="str">
        <x:v>実態/証跡</x:v>
      </x:c>
      <x:c r="E179" s="49" t="str">
        <x:v>対外PDFの作成・マスキング・再スキャン手順を今後どう標準化しますか。</x:v>
      </x:c>
      <x:c r="F179" s="49" t="str">
        <x:v>版、承認、送付、到達、保管をファイル名に依存せず管理するため</x:v>
      </x:c>
      <x:c r="G179" s="49" t="str">
        <x:v>Yes/No＋条件・例外</x:v>
      </x:c>
      <x:c r="H179" s="49" t="str">
        <x:v>Box案件フォルダ、文書種別フォルダ、メール/MINTS/FAX/郵送</x:v>
      </x:c>
      <x:c r="I179" s="49" t="str">
        <x:v>Boxサンプル、送信メール、MINTS/FAX/郵便証跡</x:v>
      </x:c>
      <x:c r="J179" s="49" t="str">
        <x:v>全員</x:v>
      </x:c>
      <x:c r="K179" s="49" t="str">
        <x:v>P2</x:v>
      </x:c>
      <x:c r="L179" s="49" t="str">
        <x:v>一部可</x:v>
      </x:c>
      <x:c r="M179" s="49" t="str">
        <x:v>未回答</x:v>
      </x:c>
      <x:c r="N179" s="49" t="str"/>
      <x:c r="O179" s="49" t="str"/>
      <x:c r="P179" s="49" t="str"/>
    </x:row>
    <x:row r="180">
      <x:c r="A180" s="49" t="str">
        <x:v>Q-176</x:v>
      </x:c>
      <x:c r="B180" s="49" t="str">
        <x:v>08_文書・成果物・納品</x:v>
      </x:c>
      <x:c r="C180" s="49" t="str">
        <x:v>WF-06〜WF-22</x:v>
      </x:c>
      <x:c r="D180" s="49" t="str">
        <x:v>実態/証跡</x:v>
      </x:c>
      <x:c r="E180" s="49" t="str">
        <x:v>文書の保存期間、廃棄、法定保存、依頼者返却をどう区別しますか。</x:v>
      </x:c>
      <x:c r="F180" s="49" t="str">
        <x:v>版、承認、送付、到達、保管をファイル名に依存せず管理するため</x:v>
      </x:c>
      <x:c r="G180" s="49" t="str">
        <x:v>Yes/No＋条件・例外</x:v>
      </x:c>
      <x:c r="H180" s="49" t="str">
        <x:v>Box案件フォルダ、文書種別フォルダ、メール/MINTS/FAX/郵送</x:v>
      </x:c>
      <x:c r="I180" s="49" t="str">
        <x:v>Boxサンプル、送信メール、MINTS/FAX/郵便証跡</x:v>
      </x:c>
      <x:c r="J180" s="49" t="str">
        <x:v>全員</x:v>
      </x:c>
      <x:c r="K180" s="49" t="str">
        <x:v>P2</x:v>
      </x:c>
      <x:c r="L180" s="49" t="str">
        <x:v>一部可</x:v>
      </x:c>
      <x:c r="M180" s="49" t="str">
        <x:v>未回答</x:v>
      </x:c>
      <x:c r="N180" s="49" t="str"/>
      <x:c r="O180" s="49" t="str"/>
      <x:c r="P180" s="49" t="str"/>
    </x:row>
    <x:row r="181">
      <x:c r="A181" s="49" t="str">
        <x:v>Q-177</x:v>
      </x:c>
      <x:c r="B181" s="49" t="str">
        <x:v>08_文書・成果物・納品</x:v>
      </x:c>
      <x:c r="C181" s="49" t="str">
        <x:v>WF-06〜WF-22</x:v>
      </x:c>
      <x:c r="D181" s="49" t="str">
        <x:v>実態/証跡</x:v>
      </x:c>
      <x:c r="E181" s="49" t="str">
        <x:v>同じ成果物を他案件のひな形へ昇格する際、匿名化・品質承認をどう行いますか。</x:v>
      </x:c>
      <x:c r="F181" s="49" t="str">
        <x:v>版、承認、送付、到達、保管をファイル名に依存せず管理するため</x:v>
      </x:c>
      <x:c r="G181" s="49" t="str">
        <x:v>Yes/No＋条件・例外</x:v>
      </x:c>
      <x:c r="H181" s="49" t="str">
        <x:v>Box案件フォルダ、文書種別フォルダ、メール/MINTS/FAX/郵送</x:v>
      </x:c>
      <x:c r="I181" s="49" t="str">
        <x:v>Boxサンプル、送信メール、MINTS/FAX/郵便証跡</x:v>
      </x:c>
      <x:c r="J181" s="49" t="str">
        <x:v>全員</x:v>
      </x:c>
      <x:c r="K181" s="49" t="str">
        <x:v>P2</x:v>
      </x:c>
      <x:c r="L181" s="49" t="str">
        <x:v>一部可</x:v>
      </x:c>
      <x:c r="M181" s="49" t="str">
        <x:v>未回答</x:v>
      </x:c>
      <x:c r="N181" s="49" t="str"/>
      <x:c r="O181" s="49" t="str"/>
      <x:c r="P181" s="49" t="str"/>
    </x:row>
    <x:row r="182">
      <x:c r="A182" s="49" t="str">
        <x:v>Q-178</x:v>
      </x:c>
      <x:c r="B182" s="49" t="str">
        <x:v>09_連絡・チャネル統合</x:v>
      </x:c>
      <x:c r="C182" s="49" t="str">
        <x:v>横断</x:v>
      </x:c>
      <x:c r="D182" s="49" t="str">
        <x:v>実態/証跡</x:v>
      </x:c>
      <x:c r="E182" s="49" t="str">
        <x:v>外部連絡の標準チャネルと、例外チャネルを相手類型別に決めますか。</x:v>
      </x:c>
      <x:c r="F182" s="49" t="str">
        <x:v>分散する自然発生データを重複なく案件イベントへ変換するため</x:v>
      </x:c>
      <x:c r="G182" s="49" t="str">
        <x:v>Yes/No＋条件・例外</x:v>
      </x:c>
      <x:c r="H182" s="49" t="str">
        <x:v>Gmail約9.3万通、Dialpad録音、Notta、Chatter/Chatwork</x:v>
      </x:c>
      <x:c r="I182" s="49" t="str">
        <x:v>Gmail/Dialpad/Notta/Chatwork/Chatterの実データ</x:v>
      </x:c>
      <x:c r="J182" s="49" t="str">
        <x:v>全員</x:v>
      </x:c>
      <x:c r="K182" s="49" t="str">
        <x:v>P1</x:v>
      </x:c>
      <x:c r="L182" s="49" t="str">
        <x:v>一部可</x:v>
      </x:c>
      <x:c r="M182" s="49" t="str">
        <x:v>未回答</x:v>
      </x:c>
      <x:c r="N182" s="49" t="str"/>
      <x:c r="O182" s="49" t="str"/>
      <x:c r="P182" s="49" t="str"/>
    </x:row>
    <x:row r="183">
      <x:c r="A183" s="49" t="str">
        <x:v>Q-179</x:v>
      </x:c>
      <x:c r="B183" s="49" t="str">
        <x:v>09_連絡・チャネル統合</x:v>
      </x:c>
      <x:c r="C183" s="49" t="str">
        <x:v>横断</x:v>
      </x:c>
      <x:c r="D183" s="49" t="str">
        <x:v>実態/証跡</x:v>
      </x:c>
      <x:c r="E183" s="49" t="str">
        <x:v>info、個人メール、CC、転送メールのどれを案件記録の捕捉対象にしますか。</x:v>
      </x:c>
      <x:c r="F183" s="49" t="str">
        <x:v>分散する自然発生データを重複なく案件イベントへ変換するため</x:v>
      </x:c>
      <x:c r="G183" s="49" t="str">
        <x:v>Yes/No＋条件・例外</x:v>
      </x:c>
      <x:c r="H183" s="49" t="str">
        <x:v>Gmail約9.3万通、Dialpad録音、Notta、Chatter/Chatwork</x:v>
      </x:c>
      <x:c r="I183" s="49" t="str">
        <x:v>Gmail/Dialpad/Notta/Chatwork/Chatterの実データ</x:v>
      </x:c>
      <x:c r="J183" s="49" t="str">
        <x:v>全員</x:v>
      </x:c>
      <x:c r="K183" s="49" t="str">
        <x:v>P1</x:v>
      </x:c>
      <x:c r="L183" s="49" t="str">
        <x:v>一部可</x:v>
      </x:c>
      <x:c r="M183" s="49" t="str">
        <x:v>未回答</x:v>
      </x:c>
      <x:c r="N183" s="49" t="str"/>
      <x:c r="O183" s="49" t="str"/>
      <x:c r="P183" s="49" t="str"/>
    </x:row>
    <x:row r="184">
      <x:c r="A184" s="49" t="str">
        <x:v>Q-180</x:v>
      </x:c>
      <x:c r="B184" s="49" t="str">
        <x:v>09_連絡・チャネル統合</x:v>
      </x:c>
      <x:c r="C184" s="49" t="str">
        <x:v>横断</x:v>
      </x:c>
      <x:c r="D184" s="49" t="str">
        <x:v>実態/証跡</x:v>
      </x:c>
      <x:c r="E184" s="49" t="str">
        <x:v>Gmailスレッド単位とメッセージ単位のどちらで案件紐付けしますか。</x:v>
      </x:c>
      <x:c r="F184" s="49" t="str">
        <x:v>分散する自然発生データを重複なく案件イベントへ変換するため</x:v>
      </x:c>
      <x:c r="G184" s="49" t="str">
        <x:v>Yes/No＋条件・例外</x:v>
      </x:c>
      <x:c r="H184" s="49" t="str">
        <x:v>Gmail約9.3万通、Dialpad録音、Notta、Chatter/Chatwork</x:v>
      </x:c>
      <x:c r="I184" s="49" t="str">
        <x:v>Gmail/Dialpad/Notta/Chatwork/Chatterの実データ</x:v>
      </x:c>
      <x:c r="J184" s="49" t="str">
        <x:v>全員</x:v>
      </x:c>
      <x:c r="K184" s="49" t="str">
        <x:v>P1</x:v>
      </x:c>
      <x:c r="L184" s="49" t="str">
        <x:v>実査可</x:v>
      </x:c>
      <x:c r="M184" s="49" t="str">
        <x:v>未回答</x:v>
      </x:c>
      <x:c r="N184" s="49" t="str"/>
      <x:c r="O184" s="49" t="str"/>
      <x:c r="P184" s="49" t="str"/>
    </x:row>
    <x:row r="185">
      <x:c r="A185" s="49" t="str">
        <x:v>Q-181</x:v>
      </x:c>
      <x:c r="B185" s="49" t="str">
        <x:v>09_連絡・チャネル統合</x:v>
      </x:c>
      <x:c r="C185" s="49" t="str">
        <x:v>横断</x:v>
      </x:c>
      <x:c r="D185" s="49" t="str">
        <x:v>実態/証跡</x:v>
      </x:c>
      <x:c r="E185" s="49" t="str">
        <x:v>1スレッドに複数案件が混ざった場合、メッセージ又は本文区間で分割しますか。</x:v>
      </x:c>
      <x:c r="F185" s="49" t="str">
        <x:v>分散する自然発生データを重複なく案件イベントへ変換するため</x:v>
      </x:c>
      <x:c r="G185" s="49" t="str">
        <x:v>Yes/No＋条件・例外</x:v>
      </x:c>
      <x:c r="H185" s="49" t="str">
        <x:v>Gmail約9.3万通、Dialpad録音、Notta、Chatter/Chatwork</x:v>
      </x:c>
      <x:c r="I185" s="49" t="str">
        <x:v>Gmail/Dialpad/Notta/Chatwork/Chatterの実データ</x:v>
      </x:c>
      <x:c r="J185" s="49" t="str">
        <x:v>全員</x:v>
      </x:c>
      <x:c r="K185" s="49" t="str">
        <x:v>P1</x:v>
      </x:c>
      <x:c r="L185" s="49" t="str">
        <x:v>一部可</x:v>
      </x:c>
      <x:c r="M185" s="49" t="str">
        <x:v>未回答</x:v>
      </x:c>
      <x:c r="N185" s="49" t="str"/>
      <x:c r="O185" s="49" t="str"/>
      <x:c r="P185" s="49" t="str"/>
    </x:row>
    <x:row r="186">
      <x:c r="A186" s="49" t="str">
        <x:v>Q-182</x:v>
      </x:c>
      <x:c r="B186" s="49" t="str">
        <x:v>09_連絡・チャネル統合</x:v>
      </x:c>
      <x:c r="C186" s="49" t="str">
        <x:v>横断</x:v>
      </x:c>
      <x:c r="D186" s="49" t="str">
        <x:v>実態/証跡</x:v>
      </x:c>
      <x:c r="E186" s="49" t="str">
        <x:v>添付ファイルをBoxへ保存した時、元メールIDとBox file_idを双方向に残しますか。</x:v>
      </x:c>
      <x:c r="F186" s="49" t="str">
        <x:v>分散する自然発生データを重複なく案件イベントへ変換するため</x:v>
      </x:c>
      <x:c r="G186" s="49" t="str">
        <x:v>Yes/No＋条件・例外</x:v>
      </x:c>
      <x:c r="H186" s="49" t="str">
        <x:v>Gmail約9.3万通、Dialpad録音、Notta、Chatter/Chatwork</x:v>
      </x:c>
      <x:c r="I186" s="49" t="str">
        <x:v>Gmail/Dialpad/Notta/Chatwork/Chatterの実データ</x:v>
      </x:c>
      <x:c r="J186" s="49" t="str">
        <x:v>全員</x:v>
      </x:c>
      <x:c r="K186" s="49" t="str">
        <x:v>P1</x:v>
      </x:c>
      <x:c r="L186" s="49" t="str">
        <x:v>一部可</x:v>
      </x:c>
      <x:c r="M186" s="49" t="str">
        <x:v>未回答</x:v>
      </x:c>
      <x:c r="N186" s="49" t="str"/>
      <x:c r="O186" s="49" t="str"/>
      <x:c r="P186" s="49" t="str"/>
    </x:row>
    <x:row r="187">
      <x:c r="A187" s="49" t="str">
        <x:v>Q-183</x:v>
      </x:c>
      <x:c r="B187" s="49" t="str">
        <x:v>09_連絡・チャネル統合</x:v>
      </x:c>
      <x:c r="C187" s="49" t="str">
        <x:v>横断</x:v>
      </x:c>
      <x:c r="D187" s="49" t="str">
        <x:v>実態/証跡</x:v>
      </x:c>
      <x:c r="E187" s="49" t="str">
        <x:v>Dialpad通話の案件紐付けは電話番号、名乗り、会話内容、直前予定のどれを優先しますか。</x:v>
      </x:c>
      <x:c r="F187" s="49" t="str">
        <x:v>分散する自然発生データを重複なく案件イベントへ変換するため</x:v>
      </x:c>
      <x:c r="G187" s="49" t="str">
        <x:v>Yes/No＋条件・例外</x:v>
      </x:c>
      <x:c r="H187" s="49" t="str">
        <x:v>Gmail約9.3万通、Dialpad録音、Notta、Chatter/Chatwork</x:v>
      </x:c>
      <x:c r="I187" s="49" t="str">
        <x:v>Gmail/Dialpad/Notta/Chatwork/Chatterの実データ</x:v>
      </x:c>
      <x:c r="J187" s="49" t="str">
        <x:v>全員</x:v>
      </x:c>
      <x:c r="K187" s="49" t="str">
        <x:v>P1</x:v>
      </x:c>
      <x:c r="L187" s="49" t="str">
        <x:v>一部可</x:v>
      </x:c>
      <x:c r="M187" s="49" t="str">
        <x:v>未回答</x:v>
      </x:c>
      <x:c r="N187" s="49" t="str"/>
      <x:c r="O187" s="49" t="str"/>
      <x:c r="P187" s="49" t="str"/>
    </x:row>
    <x:row r="188">
      <x:c r="A188" s="49" t="str">
        <x:v>Q-184</x:v>
      </x:c>
      <x:c r="B188" s="49" t="str">
        <x:v>09_連絡・チャネル統合</x:v>
      </x:c>
      <x:c r="C188" s="49" t="str">
        <x:v>横断</x:v>
      </x:c>
      <x:c r="D188" s="49" t="str">
        <x:v>実態/証跡</x:v>
      </x:c>
      <x:c r="E188" s="49" t="str">
        <x:v>通話録音、Dialpad文字起こし、Notta再文字起こしのどれを正本・派生としますか。</x:v>
      </x:c>
      <x:c r="F188" s="49" t="str">
        <x:v>分散する自然発生データを重複なく案件イベントへ変換するため</x:v>
      </x:c>
      <x:c r="G188" s="49" t="str">
        <x:v>Yes/No＋条件・例外</x:v>
      </x:c>
      <x:c r="H188" s="49" t="str">
        <x:v>Gmail約9.3万通、Dialpad録音、Notta、Chatter/Chatwork</x:v>
      </x:c>
      <x:c r="I188" s="49" t="str">
        <x:v>Gmail/Dialpad/Notta/Chatwork/Chatterの実データ</x:v>
      </x:c>
      <x:c r="J188" s="49" t="str">
        <x:v>全員</x:v>
      </x:c>
      <x:c r="K188" s="49" t="str">
        <x:v>P0</x:v>
      </x:c>
      <x:c r="L188" s="49" t="str">
        <x:v>一部可</x:v>
      </x:c>
      <x:c r="M188" s="49" t="str">
        <x:v>未回答</x:v>
      </x:c>
      <x:c r="N188" s="49" t="str"/>
      <x:c r="O188" s="49" t="str"/>
      <x:c r="P188" s="49" t="str"/>
    </x:row>
    <x:row r="189">
      <x:c r="A189" s="49" t="str">
        <x:v>Q-185</x:v>
      </x:c>
      <x:c r="B189" s="49" t="str">
        <x:v>09_連絡・チャネル統合</x:v>
      </x:c>
      <x:c r="C189" s="49" t="str">
        <x:v>横断</x:v>
      </x:c>
      <x:c r="D189" s="49" t="str">
        <x:v>実態/証跡</x:v>
      </x:c>
      <x:c r="E189" s="49" t="str">
        <x:v>Nottaリンク切れに備えて全文・音声・要約をどこまでバックアップしますか。</x:v>
      </x:c>
      <x:c r="F189" s="49" t="str">
        <x:v>分散する自然発生データを重複なく案件イベントへ変換するため</x:v>
      </x:c>
      <x:c r="G189" s="49" t="str">
        <x:v>Yes/No＋条件・例外</x:v>
      </x:c>
      <x:c r="H189" s="49" t="str">
        <x:v>Gmail約9.3万通、Dialpad録音、Notta、Chatter/Chatwork</x:v>
      </x:c>
      <x:c r="I189" s="49" t="str">
        <x:v>Gmail/Dialpad/Notta/Chatwork/Chatterの実データ</x:v>
      </x:c>
      <x:c r="J189" s="49" t="str">
        <x:v>全員</x:v>
      </x:c>
      <x:c r="K189" s="49" t="str">
        <x:v>P2</x:v>
      </x:c>
      <x:c r="L189" s="49" t="str">
        <x:v>一部可</x:v>
      </x:c>
      <x:c r="M189" s="49" t="str">
        <x:v>未回答</x:v>
      </x:c>
      <x:c r="N189" s="49" t="str"/>
      <x:c r="O189" s="49" t="str"/>
      <x:c r="P189" s="49" t="str"/>
    </x:row>
    <x:row r="190">
      <x:c r="A190" s="49" t="str">
        <x:v>Q-186</x:v>
      </x:c>
      <x:c r="B190" s="49" t="str">
        <x:v>09_連絡・チャネル統合</x:v>
      </x:c>
      <x:c r="C190" s="49" t="str">
        <x:v>横断</x:v>
      </x:c>
      <x:c r="D190" s="49" t="str">
        <x:v>実態/証跡</x:v>
      </x:c>
      <x:c r="E190" s="49" t="str">
        <x:v>Chatter、Chatwork、Slackのどの投稿を案件イベントとして取り込みますか。</x:v>
      </x:c>
      <x:c r="F190" s="49" t="str">
        <x:v>分散する自然発生データを重複なく案件イベントへ変換するため</x:v>
      </x:c>
      <x:c r="G190" s="49" t="str">
        <x:v>Yes/No＋条件・例外</x:v>
      </x:c>
      <x:c r="H190" s="49" t="str">
        <x:v>Gmail約9.3万通、Dialpad録音、Notta、Chatter/Chatwork</x:v>
      </x:c>
      <x:c r="I190" s="49" t="str">
        <x:v>Gmail/Dialpad/Notta/Chatwork/Chatterの実データ</x:v>
      </x:c>
      <x:c r="J190" s="49" t="str">
        <x:v>全員</x:v>
      </x:c>
      <x:c r="K190" s="49" t="str">
        <x:v>P2</x:v>
      </x:c>
      <x:c r="L190" s="49" t="str">
        <x:v>一部可</x:v>
      </x:c>
      <x:c r="M190" s="49" t="str">
        <x:v>未回答</x:v>
      </x:c>
      <x:c r="N190" s="49" t="str"/>
      <x:c r="O190" s="49" t="str"/>
      <x:c r="P190" s="49" t="str"/>
    </x:row>
    <x:row r="191">
      <x:c r="A191" s="49" t="str">
        <x:v>Q-187</x:v>
      </x:c>
      <x:c r="B191" s="49" t="str">
        <x:v>09_連絡・チャネル統合</x:v>
      </x:c>
      <x:c r="C191" s="49" t="str">
        <x:v>横断</x:v>
      </x:c>
      <x:c r="D191" s="49" t="str">
        <x:v>定義/ルール</x:v>
      </x:c>
      <x:c r="E191" s="49" t="str">
        <x:v>口頭会話をNottaなしで行った場合、最低限の事後記録を誰が残しますか。</x:v>
      </x:c>
      <x:c r="F191" s="49" t="str">
        <x:v>分散する自然発生データを重複なく案件イベントへ変換するため</x:v>
      </x:c>
      <x:c r="G191" s="49" t="str">
        <x:v>役割選択＋責任者</x:v>
      </x:c>
      <x:c r="H191" s="49" t="str">
        <x:v>Gmail約9.3万通、Dialpad録音、Notta、Chatter/Chatwork</x:v>
      </x:c>
      <x:c r="I191" s="49" t="str">
        <x:v>Gmail/Dialpad/Notta/Chatwork/Chatterの実データ</x:v>
      </x:c>
      <x:c r="J191" s="49" t="str">
        <x:v>全員</x:v>
      </x:c>
      <x:c r="K191" s="49" t="str">
        <x:v>P2</x:v>
      </x:c>
      <x:c r="L191" s="49" t="str">
        <x:v>聴取必須</x:v>
      </x:c>
      <x:c r="M191" s="49" t="str">
        <x:v>未回答</x:v>
      </x:c>
      <x:c r="N191" s="49" t="str"/>
      <x:c r="O191" s="49" t="str"/>
      <x:c r="P191" s="49" t="str"/>
    </x:row>
    <x:row r="192">
      <x:c r="A192" s="49" t="str">
        <x:v>Q-188</x:v>
      </x:c>
      <x:c r="B192" s="49" t="str">
        <x:v>09_連絡・チャネル統合</x:v>
      </x:c>
      <x:c r="C192" s="49" t="str">
        <x:v>横断</x:v>
      </x:c>
      <x:c r="D192" s="49" t="str">
        <x:v>実態/証跡</x:v>
      </x:c>
      <x:c r="E192" s="49" t="str">
        <x:v>依頼者ごとの連絡希望、連絡不可時間、緊急連絡先をどこに保持しますか。</x:v>
      </x:c>
      <x:c r="F192" s="49" t="str">
        <x:v>分散する自然発生データを重複なく案件イベントへ変換するため</x:v>
      </x:c>
      <x:c r="G192" s="49" t="str">
        <x:v>Yes/No＋条件・例外</x:v>
      </x:c>
      <x:c r="H192" s="49" t="str">
        <x:v>Gmail約9.3万通、Dialpad録音、Notta、Chatter/Chatwork</x:v>
      </x:c>
      <x:c r="I192" s="49" t="str">
        <x:v>Gmail/Dialpad/Notta/Chatwork/Chatterの実データ</x:v>
      </x:c>
      <x:c r="J192" s="49" t="str">
        <x:v>全員</x:v>
      </x:c>
      <x:c r="K192" s="49" t="str">
        <x:v>P2</x:v>
      </x:c>
      <x:c r="L192" s="49" t="str">
        <x:v>一部可</x:v>
      </x:c>
      <x:c r="M192" s="49" t="str">
        <x:v>未回答</x:v>
      </x:c>
      <x:c r="N192" s="49" t="str"/>
      <x:c r="O192" s="49" t="str"/>
      <x:c r="P192" s="49" t="str"/>
    </x:row>
    <x:row r="193">
      <x:c r="A193" s="49" t="str">
        <x:v>Q-189</x:v>
      </x:c>
      <x:c r="B193" s="49" t="str">
        <x:v>09_連絡・チャネル統合</x:v>
      </x:c>
      <x:c r="C193" s="49" t="str">
        <x:v>横断</x:v>
      </x:c>
      <x:c r="D193" s="49" t="str">
        <x:v>実態/証跡</x:v>
      </x:c>
      <x:c r="E193" s="49" t="str">
        <x:v>外部からの受領確認がない場合、何日後に追跡Taskを作りますか。</x:v>
      </x:c>
      <x:c r="F193" s="49" t="str">
        <x:v>分散する自然発生データを重複なく案件イベントへ変換するため</x:v>
      </x:c>
      <x:c r="G193" s="49" t="str">
        <x:v>数値＋単位</x:v>
      </x:c>
      <x:c r="H193" s="49" t="str">
        <x:v>Gmail約9.3万通、Dialpad録音、Notta、Chatter/Chatwork</x:v>
      </x:c>
      <x:c r="I193" s="49" t="str">
        <x:v>Gmail/Dialpad/Notta/Chatwork/Chatterの実データ</x:v>
      </x:c>
      <x:c r="J193" s="49" t="str">
        <x:v>全員</x:v>
      </x:c>
      <x:c r="K193" s="49" t="str">
        <x:v>P2</x:v>
      </x:c>
      <x:c r="L193" s="49" t="str">
        <x:v>一部可</x:v>
      </x:c>
      <x:c r="M193" s="49" t="str">
        <x:v>未回答</x:v>
      </x:c>
      <x:c r="N193" s="49" t="str"/>
      <x:c r="O193" s="49" t="str"/>
      <x:c r="P193" s="49" t="str"/>
    </x:row>
    <x:row r="194">
      <x:c r="A194" s="49" t="str">
        <x:v>Q-190</x:v>
      </x:c>
      <x:c r="B194" s="49" t="str">
        <x:v>09_連絡・チャネル統合</x:v>
      </x:c>
      <x:c r="C194" s="49" t="str">
        <x:v>横断</x:v>
      </x:c>
      <x:c r="D194" s="49" t="str">
        <x:v>実態/証跡</x:v>
      </x:c>
      <x:c r="E194" s="49" t="str">
        <x:v>誤送信・誤添付・誤案件紐付けを検知・訂正する手順は何ですか。</x:v>
      </x:c>
      <x:c r="F194" s="49" t="str">
        <x:v>分散する自然発生データを重複なく案件イベントへ変換するため</x:v>
      </x:c>
      <x:c r="G194" s="49" t="str">
        <x:v>Yes/No＋条件・例外</x:v>
      </x:c>
      <x:c r="H194" s="49" t="str">
        <x:v>Gmail約9.3万通、Dialpad録音、Notta、Chatter/Chatwork</x:v>
      </x:c>
      <x:c r="I194" s="49" t="str">
        <x:v>Gmail/Dialpad/Notta/Chatwork/Chatterの実データ</x:v>
      </x:c>
      <x:c r="J194" s="49" t="str">
        <x:v>全員</x:v>
      </x:c>
      <x:c r="K194" s="49" t="str">
        <x:v>P0</x:v>
      </x:c>
      <x:c r="L194" s="49" t="str">
        <x:v>一部可</x:v>
      </x:c>
      <x:c r="M194" s="49" t="str">
        <x:v>未回答</x:v>
      </x:c>
      <x:c r="N194" s="49" t="str"/>
      <x:c r="O194" s="49" t="str"/>
      <x:c r="P194" s="49" t="str"/>
    </x:row>
    <x:row r="195">
      <x:c r="A195" s="49" t="str">
        <x:v>Q-191</x:v>
      </x:c>
      <x:c r="B195" s="49" t="str">
        <x:v>09_連絡・チャネル統合</x:v>
      </x:c>
      <x:c r="C195" s="49" t="str">
        <x:v>横断</x:v>
      </x:c>
      <x:c r="D195" s="49" t="str">
        <x:v>実態/証跡</x:v>
      </x:c>
      <x:c r="E195" s="49" t="str">
        <x:v>営業電話・自動通知・ニュースレター等を自動除外する条件は何ですか。</x:v>
      </x:c>
      <x:c r="F195" s="49" t="str">
        <x:v>分散する自然発生データを重複なく案件イベントへ変換するため</x:v>
      </x:c>
      <x:c r="G195" s="49" t="str">
        <x:v>Yes/No＋条件・例外</x:v>
      </x:c>
      <x:c r="H195" s="49" t="str">
        <x:v>Gmail約9.3万通、Dialpad録音、Notta、Chatter/Chatwork</x:v>
      </x:c>
      <x:c r="I195" s="49" t="str">
        <x:v>Gmail/Dialpad/Notta/Chatwork/Chatterの実データ</x:v>
      </x:c>
      <x:c r="J195" s="49" t="str">
        <x:v>全員</x:v>
      </x:c>
      <x:c r="K195" s="49" t="str">
        <x:v>P2</x:v>
      </x:c>
      <x:c r="L195" s="49" t="str">
        <x:v>一部可</x:v>
      </x:c>
      <x:c r="M195" s="49" t="str">
        <x:v>未回答</x:v>
      </x:c>
      <x:c r="N195" s="49" t="str"/>
      <x:c r="O195" s="49" t="str"/>
      <x:c r="P195" s="49" t="str"/>
    </x:row>
    <x:row r="196">
      <x:c r="A196" s="49" t="str">
        <x:v>Q-192</x:v>
      </x:c>
      <x:c r="B196" s="49" t="str">
        <x:v>09_連絡・チャネル統合</x:v>
      </x:c>
      <x:c r="C196" s="49" t="str">
        <x:v>横断</x:v>
      </x:c>
      <x:c r="D196" s="49" t="str">
        <x:v>実態/証跡</x:v>
      </x:c>
      <x:c r="E196" s="49" t="str">
        <x:v>メール本文中の新しい期限・金額・約束をどこまで自動抽出しますか。</x:v>
      </x:c>
      <x:c r="F196" s="49" t="str">
        <x:v>分散する自然発生データを重複なく案件イベントへ変換するため</x:v>
      </x:c>
      <x:c r="G196" s="49" t="str">
        <x:v>Yes/No＋条件・例外</x:v>
      </x:c>
      <x:c r="H196" s="49" t="str">
        <x:v>Gmail約9.3万通、Dialpad録音、Notta、Chatter/Chatwork</x:v>
      </x:c>
      <x:c r="I196" s="49" t="str">
        <x:v>Gmail/Dialpad/Notta/Chatwork/Chatterの実データ</x:v>
      </x:c>
      <x:c r="J196" s="49" t="str">
        <x:v>全員</x:v>
      </x:c>
      <x:c r="K196" s="49" t="str">
        <x:v>P0</x:v>
      </x:c>
      <x:c r="L196" s="49" t="str">
        <x:v>一部可</x:v>
      </x:c>
      <x:c r="M196" s="49" t="str">
        <x:v>未回答</x:v>
      </x:c>
      <x:c r="N196" s="49" t="str"/>
      <x:c r="O196" s="49" t="str"/>
      <x:c r="P196" s="49" t="str"/>
    </x:row>
    <x:row r="197">
      <x:c r="A197" s="49" t="str">
        <x:v>Q-193</x:v>
      </x:c>
      <x:c r="B197" s="49" t="str">
        <x:v>10_裁判所・期限・提出</x:v>
      </x:c>
      <x:c r="C197" s="49" t="str">
        <x:v>WF-13〜WF-18</x:v>
      </x:c>
      <x:c r="D197" s="49" t="str">
        <x:v>実態/証跡</x:v>
      </x:c>
      <x:c r="E197" s="49" t="str">
        <x:v>期限の発生源を、法定、裁判所指定、相手方指定、依頼者指定、所内目標に分けますか。</x:v>
      </x:c>
      <x:c r="F197" s="49" t="str">
        <x:v>期限事故を防ぎ、提出と受理の証跡を共通化するため</x:v>
      </x:c>
      <x:c r="G197" s="49" t="str">
        <x:v>Yes/No＋条件・例外</x:v>
      </x:c>
      <x:c r="H197" s="49" t="str">
        <x:v>SF Deadline/JurisdictionCourt、Calendar、MINTS/Teams/FAX/郵送</x:v>
      </x:c>
      <x:c r="I197" s="49" t="str">
        <x:v>SF Deadline、Calendar、期日通知、提出証跡</x:v>
      </x:c>
      <x:c r="J197" s="49" t="str">
        <x:v>弁護士＋事務局</x:v>
      </x:c>
      <x:c r="K197" s="49" t="str">
        <x:v>P0</x:v>
      </x:c>
      <x:c r="L197" s="49" t="str">
        <x:v>一部可</x:v>
      </x:c>
      <x:c r="M197" s="49" t="str">
        <x:v>未回答</x:v>
      </x:c>
      <x:c r="N197" s="49" t="str"/>
      <x:c r="O197" s="49" t="str"/>
      <x:c r="P197" s="49" t="str"/>
    </x:row>
    <x:row r="198">
      <x:c r="A198" s="49" t="str">
        <x:v>Q-194</x:v>
      </x:c>
      <x:c r="B198" s="49" t="str">
        <x:v>10_裁判所・期限・提出</x:v>
      </x:c>
      <x:c r="C198" s="49" t="str">
        <x:v>WF-13〜WF-18</x:v>
      </x:c>
      <x:c r="D198" s="49" t="str">
        <x:v>実態/証跡</x:v>
      </x:c>
      <x:c r="E198" s="49" t="str">
        <x:v>裁判期日とワークフロー期限を別オブジェクトで管理しますか。</x:v>
      </x:c>
      <x:c r="F198" s="49" t="str">
        <x:v>期限事故を防ぎ、提出と受理の証跡を共通化するため</x:v>
      </x:c>
      <x:c r="G198" s="49" t="str">
        <x:v>Yes/No＋条件・例外</x:v>
      </x:c>
      <x:c r="H198" s="49" t="str">
        <x:v>SF Deadline/JurisdictionCourt、Calendar、MINTS/Teams/FAX/郵送</x:v>
      </x:c>
      <x:c r="I198" s="49" t="str">
        <x:v>SF Deadline、Calendar、期日通知、提出証跡</x:v>
      </x:c>
      <x:c r="J198" s="49" t="str">
        <x:v>弁護士＋事務局</x:v>
      </x:c>
      <x:c r="K198" s="49" t="str">
        <x:v>P0</x:v>
      </x:c>
      <x:c r="L198" s="49" t="str">
        <x:v>一部可</x:v>
      </x:c>
      <x:c r="M198" s="49" t="str">
        <x:v>未回答</x:v>
      </x:c>
      <x:c r="N198" s="49" t="str"/>
      <x:c r="O198" s="49" t="str"/>
      <x:c r="P198" s="49" t="str"/>
    </x:row>
    <x:row r="199">
      <x:c r="A199" s="49" t="str">
        <x:v>Q-195</x:v>
      </x:c>
      <x:c r="B199" s="49" t="str">
        <x:v>10_裁判所・期限・提出</x:v>
      </x:c>
      <x:c r="C199" s="49" t="str">
        <x:v>WF-13〜WF-18</x:v>
      </x:c>
      <x:c r="D199" s="49" t="str">
        <x:v>実態/証跡</x:v>
      </x:c>
      <x:c r="E199" s="49" t="str">
        <x:v>期限の正本はSalesforce Deadline、Calendar、紙の期日簿のどれですか。</x:v>
      </x:c>
      <x:c r="F199" s="49" t="str">
        <x:v>期限事故を防ぎ、提出と受理の証跡を共通化するため</x:v>
      </x:c>
      <x:c r="G199" s="49" t="str">
        <x:v>Yes/No＋条件・例外</x:v>
      </x:c>
      <x:c r="H199" s="49" t="str">
        <x:v>SF Deadline/JurisdictionCourt、Calendar、MINTS/Teams/FAX/郵送</x:v>
      </x:c>
      <x:c r="I199" s="49" t="str">
        <x:v>SF Deadline、Calendar、期日通知、提出証跡</x:v>
      </x:c>
      <x:c r="J199" s="49" t="str">
        <x:v>弁護士＋事務局</x:v>
      </x:c>
      <x:c r="K199" s="49" t="str">
        <x:v>P0</x:v>
      </x:c>
      <x:c r="L199" s="49" t="str">
        <x:v>実査可</x:v>
      </x:c>
      <x:c r="M199" s="49" t="str">
        <x:v>未回答</x:v>
      </x:c>
      <x:c r="N199" s="49" t="str"/>
      <x:c r="O199" s="49" t="str"/>
      <x:c r="P199" s="49" t="str"/>
    </x:row>
    <x:row r="200">
      <x:c r="A200" s="49" t="str">
        <x:v>Q-196</x:v>
      </x:c>
      <x:c r="B200" s="49" t="str">
        <x:v>10_裁判所・期限・提出</x:v>
      </x:c>
      <x:c r="C200" s="49" t="str">
        <x:v>WF-13〜WF-18</x:v>
      </x:c>
      <x:c r="D200" s="49" t="str">
        <x:v>定義/ルール</x:v>
      </x:c>
      <x:c r="E200" s="49" t="str">
        <x:v>期限入力は誰が行い、二人目の確認を必要とする期限は何ですか。</x:v>
      </x:c>
      <x:c r="F200" s="49" t="str">
        <x:v>期限事故を防ぎ、提出と受理の証跡を共通化するため</x:v>
      </x:c>
      <x:c r="G200" s="49" t="str">
        <x:v>役割選択＋責任者</x:v>
      </x:c>
      <x:c r="H200" s="49" t="str">
        <x:v>SF Deadline/JurisdictionCourt、Calendar、MINTS/Teams/FAX/郵送</x:v>
      </x:c>
      <x:c r="I200" s="49" t="str">
        <x:v>SF Deadline、Calendar、期日通知、提出証跡</x:v>
      </x:c>
      <x:c r="J200" s="49" t="str">
        <x:v>弁護士＋事務局</x:v>
      </x:c>
      <x:c r="K200" s="49" t="str">
        <x:v>P0</x:v>
      </x:c>
      <x:c r="L200" s="49" t="str">
        <x:v>聴取必須</x:v>
      </x:c>
      <x:c r="M200" s="49" t="str">
        <x:v>未回答</x:v>
      </x:c>
      <x:c r="N200" s="49" t="str"/>
      <x:c r="O200" s="49" t="str"/>
      <x:c r="P200" s="49" t="str"/>
    </x:row>
    <x:row r="201">
      <x:c r="A201" s="49" t="str">
        <x:v>Q-197</x:v>
      </x:c>
      <x:c r="B201" s="49" t="str">
        <x:v>10_裁判所・期限・提出</x:v>
      </x:c>
      <x:c r="C201" s="49" t="str">
        <x:v>WF-13〜WF-18</x:v>
      </x:c>
      <x:c r="D201" s="49" t="str">
        <x:v>実態/証跡</x:v>
      </x:c>
      <x:c r="E201" s="49" t="str">
        <x:v>受領日・送達日から計算する期限の起算日証跡を何にしますか。</x:v>
      </x:c>
      <x:c r="F201" s="49" t="str">
        <x:v>期限事故を防ぎ、提出と受理の証跡を共通化するため</x:v>
      </x:c>
      <x:c r="G201" s="49" t="str">
        <x:v>Yes/No＋条件・例外</x:v>
      </x:c>
      <x:c r="H201" s="49" t="str">
        <x:v>SF Deadline/JurisdictionCourt、Calendar、MINTS/Teams/FAX/郵送</x:v>
      </x:c>
      <x:c r="I201" s="49" t="str">
        <x:v>SF Deadline、Calendar、期日通知、提出証跡</x:v>
      </x:c>
      <x:c r="J201" s="49" t="str">
        <x:v>弁護士＋事務局</x:v>
      </x:c>
      <x:c r="K201" s="49" t="str">
        <x:v>P0</x:v>
      </x:c>
      <x:c r="L201" s="49" t="str">
        <x:v>一部可</x:v>
      </x:c>
      <x:c r="M201" s="49" t="str">
        <x:v>未回答</x:v>
      </x:c>
      <x:c r="N201" s="49" t="str"/>
      <x:c r="O201" s="49" t="str"/>
      <x:c r="P201" s="49" t="str"/>
    </x:row>
    <x:row r="202">
      <x:c r="A202" s="49" t="str">
        <x:v>Q-198</x:v>
      </x:c>
      <x:c r="B202" s="49" t="str">
        <x:v>10_裁判所・期限・提出</x:v>
      </x:c>
      <x:c r="C202" s="49" t="str">
        <x:v>WF-13〜WF-18</x:v>
      </x:c>
      <x:c r="D202" s="49" t="str">
        <x:v>実態/証跡</x:v>
      </x:c>
      <x:c r="E202" s="49" t="str">
        <x:v>休日・年末年始・裁判所固有運用を期限計算にどう反映しますか。</x:v>
      </x:c>
      <x:c r="F202" s="49" t="str">
        <x:v>期限事故を防ぎ、提出と受理の証跡を共通化するため</x:v>
      </x:c>
      <x:c r="G202" s="49" t="str">
        <x:v>Yes/No＋条件・例外</x:v>
      </x:c>
      <x:c r="H202" s="49" t="str">
        <x:v>SF Deadline/JurisdictionCourt、Calendar、MINTS/Teams/FAX/郵送</x:v>
      </x:c>
      <x:c r="I202" s="49" t="str">
        <x:v>SF Deadline、Calendar、期日通知、提出証跡</x:v>
      </x:c>
      <x:c r="J202" s="49" t="str">
        <x:v>弁護士＋事務局</x:v>
      </x:c>
      <x:c r="K202" s="49" t="str">
        <x:v>P0</x:v>
      </x:c>
      <x:c r="L202" s="49" t="str">
        <x:v>一部可</x:v>
      </x:c>
      <x:c r="M202" s="49" t="str">
        <x:v>未回答</x:v>
      </x:c>
      <x:c r="N202" s="49" t="str"/>
      <x:c r="O202" s="49" t="str"/>
      <x:c r="P202" s="49" t="str"/>
    </x:row>
    <x:row r="203">
      <x:c r="A203" s="49" t="str">
        <x:v>Q-199</x:v>
      </x:c>
      <x:c r="B203" s="49" t="str">
        <x:v>10_裁判所・期限・提出</x:v>
      </x:c>
      <x:c r="C203" s="49" t="str">
        <x:v>WF-13〜WF-18</x:v>
      </x:c>
      <x:c r="D203" s="49" t="str">
        <x:v>実態/証跡</x:v>
      </x:c>
      <x:c r="E203" s="49" t="str">
        <x:v>期限の事前通知を何日前・誰に・どのチャネルで出しますか。</x:v>
      </x:c>
      <x:c r="F203" s="49" t="str">
        <x:v>期限事故を防ぎ、提出と受理の証跡を共通化するため</x:v>
      </x:c>
      <x:c r="G203" s="49" t="str">
        <x:v>役割選択＋責任者</x:v>
      </x:c>
      <x:c r="H203" s="49" t="str">
        <x:v>SF Deadline/JurisdictionCourt、Calendar、MINTS/Teams/FAX/郵送</x:v>
      </x:c>
      <x:c r="I203" s="49" t="str">
        <x:v>SF Deadline、Calendar、期日通知、提出証跡</x:v>
      </x:c>
      <x:c r="J203" s="49" t="str">
        <x:v>弁護士＋事務局</x:v>
      </x:c>
      <x:c r="K203" s="49" t="str">
        <x:v>P0</x:v>
      </x:c>
      <x:c r="L203" s="49" t="str">
        <x:v>一部可</x:v>
      </x:c>
      <x:c r="M203" s="49" t="str">
        <x:v>未回答</x:v>
      </x:c>
      <x:c r="N203" s="49" t="str"/>
      <x:c r="O203" s="49" t="str"/>
      <x:c r="P203" s="49" t="str"/>
    </x:row>
    <x:row r="204">
      <x:c r="A204" s="49" t="str">
        <x:v>Q-200</x:v>
      </x:c>
      <x:c r="B204" s="49" t="str">
        <x:v>10_裁判所・期限・提出</x:v>
      </x:c>
      <x:c r="C204" s="49" t="str">
        <x:v>WF-13〜WF-18</x:v>
      </x:c>
      <x:c r="D204" s="49" t="str">
        <x:v>実態/証跡</x:v>
      </x:c>
      <x:c r="E204" s="49" t="str">
        <x:v>期限変更・延期・取消を元期限との関係付きで保存しますか。</x:v>
      </x:c>
      <x:c r="F204" s="49" t="str">
        <x:v>期限事故を防ぎ、提出と受理の証跡を共通化するため</x:v>
      </x:c>
      <x:c r="G204" s="49" t="str">
        <x:v>Yes/No＋条件・例外</x:v>
      </x:c>
      <x:c r="H204" s="49" t="str">
        <x:v>SF Deadline/JurisdictionCourt、Calendar、MINTS/Teams/FAX/郵送</x:v>
      </x:c>
      <x:c r="I204" s="49" t="str">
        <x:v>SF Deadline、Calendar、期日通知、提出証跡</x:v>
      </x:c>
      <x:c r="J204" s="49" t="str">
        <x:v>弁護士＋事務局</x:v>
      </x:c>
      <x:c r="K204" s="49" t="str">
        <x:v>P0</x:v>
      </x:c>
      <x:c r="L204" s="49" t="str">
        <x:v>一部可</x:v>
      </x:c>
      <x:c r="M204" s="49" t="str">
        <x:v>未回答</x:v>
      </x:c>
      <x:c r="N204" s="49" t="str"/>
      <x:c r="O204" s="49" t="str"/>
      <x:c r="P204" s="49" t="str"/>
    </x:row>
    <x:row r="205">
      <x:c r="A205" s="49" t="str">
        <x:v>Q-201</x:v>
      </x:c>
      <x:c r="B205" s="49" t="str">
        <x:v>10_裁判所・期限・提出</x:v>
      </x:c>
      <x:c r="C205" s="49" t="str">
        <x:v>WF-13〜WF-18</x:v>
      </x:c>
      <x:c r="D205" s="49" t="str">
        <x:v>実態/証跡</x:v>
      </x:c>
      <x:c r="E205" s="49" t="str">
        <x:v>MINTS、Teams、FAX、郵送の提出方法ごとの完了証跡は何ですか。</x:v>
      </x:c>
      <x:c r="F205" s="49" t="str">
        <x:v>期限事故を防ぎ、提出と受理の証跡を共通化するため</x:v>
      </x:c>
      <x:c r="G205" s="49" t="str">
        <x:v>Yes/No＋条件・例外</x:v>
      </x:c>
      <x:c r="H205" s="49" t="str">
        <x:v>SF Deadline/JurisdictionCourt、Calendar、MINTS/Teams/FAX/郵送</x:v>
      </x:c>
      <x:c r="I205" s="49" t="str">
        <x:v>SF Deadline、Calendar、期日通知、提出証跡</x:v>
      </x:c>
      <x:c r="J205" s="49" t="str">
        <x:v>弁護士＋事務局</x:v>
      </x:c>
      <x:c r="K205" s="49" t="str">
        <x:v>P2</x:v>
      </x:c>
      <x:c r="L205" s="49" t="str">
        <x:v>一部可</x:v>
      </x:c>
      <x:c r="M205" s="49" t="str">
        <x:v>未回答</x:v>
      </x:c>
      <x:c r="N205" s="49" t="str"/>
      <x:c r="O205" s="49" t="str"/>
      <x:c r="P205" s="49" t="str"/>
    </x:row>
    <x:row r="206">
      <x:c r="A206" s="49" t="str">
        <x:v>Q-202</x:v>
      </x:c>
      <x:c r="B206" s="49" t="str">
        <x:v>10_裁判所・期限・提出</x:v>
      </x:c>
      <x:c r="C206" s="49" t="str">
        <x:v>WF-13〜WF-18</x:v>
      </x:c>
      <x:c r="D206" s="49" t="str">
        <x:v>実態/証跡</x:v>
      </x:c>
      <x:c r="E206" s="49" t="str">
        <x:v>補正命令・差戻し・不受理を新タスクと状態遷移へどうつなぎますか。</x:v>
      </x:c>
      <x:c r="F206" s="49" t="str">
        <x:v>期限事故を防ぎ、提出と受理の証跡を共通化するため</x:v>
      </x:c>
      <x:c r="G206" s="49" t="str">
        <x:v>Yes/No＋条件・例外</x:v>
      </x:c>
      <x:c r="H206" s="49" t="str">
        <x:v>SF Deadline/JurisdictionCourt、Calendar、MINTS/Teams/FAX/郵送</x:v>
      </x:c>
      <x:c r="I206" s="49" t="str">
        <x:v>SF Deadline、Calendar、期日通知、提出証跡</x:v>
      </x:c>
      <x:c r="J206" s="49" t="str">
        <x:v>弁護士＋事務局</x:v>
      </x:c>
      <x:c r="K206" s="49" t="str">
        <x:v>P2</x:v>
      </x:c>
      <x:c r="L206" s="49" t="str">
        <x:v>一部可</x:v>
      </x:c>
      <x:c r="M206" s="49" t="str">
        <x:v>未回答</x:v>
      </x:c>
      <x:c r="N206" s="49" t="str"/>
      <x:c r="O206" s="49" t="str"/>
      <x:c r="P206" s="49" t="str"/>
    </x:row>
    <x:row r="207">
      <x:c r="A207" s="49" t="str">
        <x:v>Q-203</x:v>
      </x:c>
      <x:c r="B207" s="49" t="str">
        <x:v>10_裁判所・期限・提出</x:v>
      </x:c>
      <x:c r="C207" s="49" t="str">
        <x:v>WF-13〜WF-18</x:v>
      </x:c>
      <x:c r="D207" s="49" t="str">
        <x:v>実態/証跡</x:v>
      </x:c>
      <x:c r="E207" s="49" t="str">
        <x:v>期限超過又はヒヤリハット時のインシデント記録・通知・再発防止はどうしますか。</x:v>
      </x:c>
      <x:c r="F207" s="49" t="str">
        <x:v>期限事故を防ぎ、提出と受理の証跡を共通化するため</x:v>
      </x:c>
      <x:c r="G207" s="49" t="str">
        <x:v>Yes/No＋条件・例外</x:v>
      </x:c>
      <x:c r="H207" s="49" t="str">
        <x:v>SF Deadline/JurisdictionCourt、Calendar、MINTS/Teams/FAX/郵送</x:v>
      </x:c>
      <x:c r="I207" s="49" t="str">
        <x:v>SF Deadline、Calendar、期日通知、提出証跡</x:v>
      </x:c>
      <x:c r="J207" s="49" t="str">
        <x:v>弁護士＋事務局</x:v>
      </x:c>
      <x:c r="K207" s="49" t="str">
        <x:v>P0</x:v>
      </x:c>
      <x:c r="L207" s="49" t="str">
        <x:v>一部可</x:v>
      </x:c>
      <x:c r="M207" s="49" t="str">
        <x:v>未回答</x:v>
      </x:c>
      <x:c r="N207" s="49" t="str"/>
      <x:c r="O207" s="49" t="str"/>
      <x:c r="P207" s="49" t="str"/>
    </x:row>
    <x:row r="208">
      <x:c r="A208" s="49" t="str">
        <x:v>Q-204</x:v>
      </x:c>
      <x:c r="B208" s="49" t="str">
        <x:v>10_裁判所・期限・提出</x:v>
      </x:c>
      <x:c r="C208" s="49" t="str">
        <x:v>WF-13〜WF-18</x:v>
      </x:c>
      <x:c r="D208" s="49" t="str">
        <x:v>実態/証跡</x:v>
      </x:c>
      <x:c r="E208" s="49" t="str">
        <x:v>裁判所事件番号・裁判所・手続・期日を案件IDと安定して紐付けるキーは何ですか。</x:v>
      </x:c>
      <x:c r="F208" s="49" t="str">
        <x:v>期限事故を防ぎ、提出と受理の証跡を共通化するため</x:v>
      </x:c>
      <x:c r="G208" s="49" t="str">
        <x:v>Yes/No＋条件・例外</x:v>
      </x:c>
      <x:c r="H208" s="49" t="str">
        <x:v>SF Deadline/JurisdictionCourt、Calendar、MINTS/Teams/FAX/郵送</x:v>
      </x:c>
      <x:c r="I208" s="49" t="str">
        <x:v>SF Deadline、Calendar、期日通知、提出証跡</x:v>
      </x:c>
      <x:c r="J208" s="49" t="str">
        <x:v>弁護士＋事務局</x:v>
      </x:c>
      <x:c r="K208" s="49" t="str">
        <x:v>P2</x:v>
      </x:c>
      <x:c r="L208" s="49" t="str">
        <x:v>一部可</x:v>
      </x:c>
      <x:c r="M208" s="49" t="str">
        <x:v>未回答</x:v>
      </x:c>
      <x:c r="N208" s="49" t="str"/>
      <x:c r="O208" s="49" t="str"/>
      <x:c r="P208" s="49" t="str"/>
    </x:row>
    <x:row r="209">
      <x:c r="A209" s="49" t="str">
        <x:v>Q-205</x:v>
      </x:c>
      <x:c r="B209" s="49" t="str">
        <x:v>11_成果・終結・知識化</x:v>
      </x:c>
      <x:c r="C209" s="49" t="str">
        <x:v>WF-19〜WF-22</x:v>
      </x:c>
      <x:c r="D209" s="49" t="str">
        <x:v>実態/証跡</x:v>
      </x:c>
      <x:c r="E209" s="49" t="str">
        <x:v>業務上の『解決』と『事件終結』をどの条件で分けますか。</x:v>
      </x:c>
      <x:c r="F209" s="49" t="str">
        <x:v>業務・財務・原本・期限を閉鎖し、再利用可能な学びを残すため</x:v>
      </x:c>
      <x:c r="G209" s="49" t="str">
        <x:v>Yes/No＋条件・例外</x:v>
      </x:c>
      <x:c r="H209" s="49" t="str">
        <x:v>既済フォルダ、終了報告書、最終請求・原本返却の実例</x:v>
      </x:c>
      <x:c r="I209" s="49" t="str">
        <x:v>終了報告、既済案件、最終請求、返却記録</x:v>
      </x:c>
      <x:c r="J209" s="49" t="str">
        <x:v>弁護士＋事務局長</x:v>
      </x:c>
      <x:c r="K209" s="49" t="str">
        <x:v>P0</x:v>
      </x:c>
      <x:c r="L209" s="49" t="str">
        <x:v>一部可</x:v>
      </x:c>
      <x:c r="M209" s="49" t="str">
        <x:v>未回答</x:v>
      </x:c>
      <x:c r="N209" s="49" t="str"/>
      <x:c r="O209" s="49" t="str"/>
      <x:c r="P209" s="49" t="str"/>
    </x:row>
    <x:row r="210">
      <x:c r="A210" s="49" t="str">
        <x:v>Q-206</x:v>
      </x:c>
      <x:c r="B210" s="49" t="str">
        <x:v>11_成果・終結・知識化</x:v>
      </x:c>
      <x:c r="C210" s="49" t="str">
        <x:v>WF-19〜WF-22</x:v>
      </x:c>
      <x:c r="D210" s="49" t="str">
        <x:v>実態/証跡</x:v>
      </x:c>
      <x:c r="E210" s="49" t="str">
        <x:v>終結開始を承認する弁護士は誰ですか。</x:v>
      </x:c>
      <x:c r="F210" s="49" t="str">
        <x:v>業務・財務・原本・期限を閉鎖し、再利用可能な学びを残すため</x:v>
      </x:c>
      <x:c r="G210" s="49" t="str">
        <x:v>役割選択＋責任者</x:v>
      </x:c>
      <x:c r="H210" s="49" t="str">
        <x:v>既済フォルダ、終了報告書、最終請求・原本返却の実例</x:v>
      </x:c>
      <x:c r="I210" s="49" t="str">
        <x:v>終了報告、既済案件、最終請求、返却記録</x:v>
      </x:c>
      <x:c r="J210" s="49" t="str">
        <x:v>弁護士＋事務局長</x:v>
      </x:c>
      <x:c r="K210" s="49" t="str">
        <x:v>P0</x:v>
      </x:c>
      <x:c r="L210" s="49" t="str">
        <x:v>一部可</x:v>
      </x:c>
      <x:c r="M210" s="49" t="str">
        <x:v>未回答</x:v>
      </x:c>
      <x:c r="N210" s="49" t="str"/>
      <x:c r="O210" s="49" t="str"/>
      <x:c r="P210" s="49" t="str"/>
    </x:row>
    <x:row r="211">
      <x:c r="A211" s="49" t="str">
        <x:v>Q-207</x:v>
      </x:c>
      <x:c r="B211" s="49" t="str">
        <x:v>11_成果・終結・知識化</x:v>
      </x:c>
      <x:c r="C211" s="49" t="str">
        <x:v>WF-19〜WF-22</x:v>
      </x:c>
      <x:c r="D211" s="49" t="str">
        <x:v>実態/証跡</x:v>
      </x:c>
      <x:c r="E211" s="49" t="str">
        <x:v>成果類型を和解、判決、取下げ、履行完了、助言完了、契約締結等に分類しますか。</x:v>
      </x:c>
      <x:c r="F211" s="49" t="str">
        <x:v>業務・財務・原本・期限を閉鎖し、再利用可能な学びを残すため</x:v>
      </x:c>
      <x:c r="G211" s="49" t="str">
        <x:v>Yes/No＋条件・例外</x:v>
      </x:c>
      <x:c r="H211" s="49" t="str">
        <x:v>既済フォルダ、終了報告書、最終請求・原本返却の実例</x:v>
      </x:c>
      <x:c r="I211" s="49" t="str">
        <x:v>終了報告、既済案件、最終請求、返却記録</x:v>
      </x:c>
      <x:c r="J211" s="49" t="str">
        <x:v>弁護士＋事務局長</x:v>
      </x:c>
      <x:c r="K211" s="49" t="str">
        <x:v>P1</x:v>
      </x:c>
      <x:c r="L211" s="49" t="str">
        <x:v>一部可</x:v>
      </x:c>
      <x:c r="M211" s="49" t="str">
        <x:v>未回答</x:v>
      </x:c>
      <x:c r="N211" s="49" t="str"/>
      <x:c r="O211" s="49" t="str"/>
      <x:c r="P211" s="49" t="str"/>
    </x:row>
    <x:row r="212">
      <x:c r="A212" s="49" t="str">
        <x:v>Q-208</x:v>
      </x:c>
      <x:c r="B212" s="49" t="str">
        <x:v>11_成果・終結・知識化</x:v>
      </x:c>
      <x:c r="C212" s="49" t="str">
        <x:v>WF-19〜WF-22</x:v>
      </x:c>
      <x:c r="D212" s="49" t="str">
        <x:v>実態/証跡</x:v>
      </x:c>
      <x:c r="E212" s="49" t="str">
        <x:v>定量成果（回収額、減額、保全額、期間等）と定性成果をどこまで記録しますか。</x:v>
      </x:c>
      <x:c r="F212" s="49" t="str">
        <x:v>業務・財務・原本・期限を閉鎖し、再利用可能な学びを残すため</x:v>
      </x:c>
      <x:c r="G212" s="49" t="str">
        <x:v>Yes/No＋条件・例外</x:v>
      </x:c>
      <x:c r="H212" s="49" t="str">
        <x:v>既済フォルダ、終了報告書、最終請求・原本返却の実例</x:v>
      </x:c>
      <x:c r="I212" s="49" t="str">
        <x:v>終了報告、既済案件、最終請求、返却記録</x:v>
      </x:c>
      <x:c r="J212" s="49" t="str">
        <x:v>弁護士＋事務局長</x:v>
      </x:c>
      <x:c r="K212" s="49" t="str">
        <x:v>P1</x:v>
      </x:c>
      <x:c r="L212" s="49" t="str">
        <x:v>一部可</x:v>
      </x:c>
      <x:c r="M212" s="49" t="str">
        <x:v>未回答</x:v>
      </x:c>
      <x:c r="N212" s="49" t="str"/>
      <x:c r="O212" s="49" t="str"/>
      <x:c r="P212" s="49" t="str"/>
    </x:row>
    <x:row r="213">
      <x:c r="A213" s="49" t="str">
        <x:v>Q-209</x:v>
      </x:c>
      <x:c r="B213" s="49" t="str">
        <x:v>11_成果・終結・知識化</x:v>
      </x:c>
      <x:c r="C213" s="49" t="str">
        <x:v>WF-19〜WF-22</x:v>
      </x:c>
      <x:c r="D213" s="49" t="str">
        <x:v>実態/証跡</x:v>
      </x:c>
      <x:c r="E213" s="49" t="str">
        <x:v>和解成立後の支払、登記、引渡し、届出等の履行確認を別タスクで追跡しますか。</x:v>
      </x:c>
      <x:c r="F213" s="49" t="str">
        <x:v>業務・財務・原本・期限を閉鎖し、再利用可能な学びを残すため</x:v>
      </x:c>
      <x:c r="G213" s="49" t="str">
        <x:v>Yes/No＋条件・例外</x:v>
      </x:c>
      <x:c r="H213" s="49" t="str">
        <x:v>既済フォルダ、終了報告書、最終請求・原本返却の実例</x:v>
      </x:c>
      <x:c r="I213" s="49" t="str">
        <x:v>終了報告、既済案件、最終請求、返却記録</x:v>
      </x:c>
      <x:c r="J213" s="49" t="str">
        <x:v>弁護士＋事務局長</x:v>
      </x:c>
      <x:c r="K213" s="49" t="str">
        <x:v>P0</x:v>
      </x:c>
      <x:c r="L213" s="49" t="str">
        <x:v>一部可</x:v>
      </x:c>
      <x:c r="M213" s="49" t="str">
        <x:v>未回答</x:v>
      </x:c>
      <x:c r="N213" s="49" t="str"/>
      <x:c r="O213" s="49" t="str"/>
      <x:c r="P213" s="49" t="str"/>
    </x:row>
    <x:row r="214">
      <x:c r="A214" s="49" t="str">
        <x:v>Q-210</x:v>
      </x:c>
      <x:c r="B214" s="49" t="str">
        <x:v>11_成果・終結・知識化</x:v>
      </x:c>
      <x:c r="C214" s="49" t="str">
        <x:v>WF-19〜WF-22</x:v>
      </x:c>
      <x:c r="D214" s="49" t="str">
        <x:v>実態/証跡</x:v>
      </x:c>
      <x:c r="E214" s="49" t="str">
        <x:v>上訴・異議・取消等の残存期限を終結前に確認するゲートを設けますか。</x:v>
      </x:c>
      <x:c r="F214" s="49" t="str">
        <x:v>業務・財務・原本・期限を閉鎖し、再利用可能な学びを残すため</x:v>
      </x:c>
      <x:c r="G214" s="49" t="str">
        <x:v>Yes/No＋条件・例外</x:v>
      </x:c>
      <x:c r="H214" s="49" t="str">
        <x:v>既済フォルダ、終了報告書、最終請求・原本返却の実例</x:v>
      </x:c>
      <x:c r="I214" s="49" t="str">
        <x:v>終了報告、既済案件、最終請求、返却記録</x:v>
      </x:c>
      <x:c r="J214" s="49" t="str">
        <x:v>弁護士＋事務局長</x:v>
      </x:c>
      <x:c r="K214" s="49" t="str">
        <x:v>P0</x:v>
      </x:c>
      <x:c r="L214" s="49" t="str">
        <x:v>一部可</x:v>
      </x:c>
      <x:c r="M214" s="49" t="str">
        <x:v>未回答</x:v>
      </x:c>
      <x:c r="N214" s="49" t="str"/>
      <x:c r="O214" s="49" t="str"/>
      <x:c r="P214" s="49" t="str"/>
    </x:row>
    <x:row r="215">
      <x:c r="A215" s="49" t="str">
        <x:v>Q-211</x:v>
      </x:c>
      <x:c r="B215" s="49" t="str">
        <x:v>11_成果・終結・知識化</x:v>
      </x:c>
      <x:c r="C215" s="49" t="str">
        <x:v>WF-19〜WF-22</x:v>
      </x:c>
      <x:c r="D215" s="49" t="str">
        <x:v>実態/証跡</x:v>
      </x:c>
      <x:c r="E215" s="49" t="str">
        <x:v>未完タスク、未回答、未送付成果物、未受領確認がゼロかを自動確認しますか。</x:v>
      </x:c>
      <x:c r="F215" s="49" t="str">
        <x:v>業務・財務・原本・期限を閉鎖し、再利用可能な学びを残すため</x:v>
      </x:c>
      <x:c r="G215" s="49" t="str">
        <x:v>Yes/No＋条件・例外</x:v>
      </x:c>
      <x:c r="H215" s="49" t="str">
        <x:v>既済フォルダ、終了報告書、最終請求・原本返却の実例</x:v>
      </x:c>
      <x:c r="I215" s="49" t="str">
        <x:v>終了報告、既済案件、最終請求、返却記録</x:v>
      </x:c>
      <x:c r="J215" s="49" t="str">
        <x:v>弁護士＋事務局長</x:v>
      </x:c>
      <x:c r="K215" s="49" t="str">
        <x:v>P1</x:v>
      </x:c>
      <x:c r="L215" s="49" t="str">
        <x:v>一部可</x:v>
      </x:c>
      <x:c r="M215" s="49" t="str">
        <x:v>未回答</x:v>
      </x:c>
      <x:c r="N215" s="49" t="str"/>
      <x:c r="O215" s="49" t="str"/>
      <x:c r="P215" s="49" t="str"/>
    </x:row>
    <x:row r="216">
      <x:c r="A216" s="49" t="str">
        <x:v>Q-212</x:v>
      </x:c>
      <x:c r="B216" s="49" t="str">
        <x:v>11_成果・終結・知識化</x:v>
      </x:c>
      <x:c r="C216" s="49" t="str">
        <x:v>WF-19〜WF-22</x:v>
      </x:c>
      <x:c r="D216" s="49" t="str">
        <x:v>定義/ルール</x:v>
      </x:c>
      <x:c r="E216" s="49" t="str">
        <x:v>最終請求・報酬計算の承認者と根拠の保存先は何ですか。</x:v>
      </x:c>
      <x:c r="F216" s="49" t="str">
        <x:v>業務・財務・原本・期限を閉鎖し、再利用可能な学びを残すため</x:v>
      </x:c>
      <x:c r="G216" s="49" t="str">
        <x:v>Yes/No＋条件・例外</x:v>
      </x:c>
      <x:c r="H216" s="49" t="str">
        <x:v>既済フォルダ、終了報告書、最終請求・原本返却の実例</x:v>
      </x:c>
      <x:c r="I216" s="49" t="str">
        <x:v>終了報告、既済案件、最終請求、返却記録</x:v>
      </x:c>
      <x:c r="J216" s="49" t="str">
        <x:v>弁護士＋事務局長</x:v>
      </x:c>
      <x:c r="K216" s="49" t="str">
        <x:v>P1</x:v>
      </x:c>
      <x:c r="L216" s="49" t="str">
        <x:v>聴取必須</x:v>
      </x:c>
      <x:c r="M216" s="49" t="str">
        <x:v>未回答</x:v>
      </x:c>
      <x:c r="N216" s="49" t="str"/>
      <x:c r="O216" s="49" t="str"/>
      <x:c r="P216" s="49" t="str"/>
    </x:row>
    <x:row r="217">
      <x:c r="A217" s="49" t="str">
        <x:v>Q-213</x:v>
      </x:c>
      <x:c r="B217" s="49" t="str">
        <x:v>11_成果・終結・知識化</x:v>
      </x:c>
      <x:c r="C217" s="49" t="str">
        <x:v>WF-19〜WF-22</x:v>
      </x:c>
      <x:c r="D217" s="49" t="str">
        <x:v>実態/証跡</x:v>
      </x:c>
      <x:c r="E217" s="49" t="str">
        <x:v>入金前でも業務終結できる場合、業務状態と債権回収状態を分離しますか。</x:v>
      </x:c>
      <x:c r="F217" s="49" t="str">
        <x:v>業務・財務・原本・期限を閉鎖し、再利用可能な学びを残すため</x:v>
      </x:c>
      <x:c r="G217" s="49" t="str">
        <x:v>Yes/No＋条件・例外</x:v>
      </x:c>
      <x:c r="H217" s="49" t="str">
        <x:v>既済フォルダ、終了報告書、最終請求・原本返却の実例</x:v>
      </x:c>
      <x:c r="I217" s="49" t="str">
        <x:v>終了報告、既済案件、最終請求、返却記録</x:v>
      </x:c>
      <x:c r="J217" s="49" t="str">
        <x:v>弁護士＋事務局長</x:v>
      </x:c>
      <x:c r="K217" s="49" t="str">
        <x:v>P0</x:v>
      </x:c>
      <x:c r="L217" s="49" t="str">
        <x:v>実査可</x:v>
      </x:c>
      <x:c r="M217" s="49" t="str">
        <x:v>未回答</x:v>
      </x:c>
      <x:c r="N217" s="49" t="str"/>
      <x:c r="O217" s="49" t="str"/>
      <x:c r="P217" s="49" t="str"/>
    </x:row>
    <x:row r="218">
      <x:c r="A218" s="49" t="str">
        <x:v>Q-214</x:v>
      </x:c>
      <x:c r="B218" s="49" t="str">
        <x:v>11_成果・終結・知識化</x:v>
      </x:c>
      <x:c r="C218" s="49" t="str">
        <x:v>WF-19〜WF-22</x:v>
      </x:c>
      <x:c r="D218" s="49" t="str">
        <x:v>実態/証跡</x:v>
      </x:c>
      <x:c r="E218" s="49" t="str">
        <x:v>預り金・実費・返金・未収金の精算済み判定をどう定義しますか。</x:v>
      </x:c>
      <x:c r="F218" s="49" t="str">
        <x:v>業務・財務・原本・期限を閉鎖し、再利用可能な学びを残すため</x:v>
      </x:c>
      <x:c r="G218" s="49" t="str">
        <x:v>Yes/No＋条件・例外</x:v>
      </x:c>
      <x:c r="H218" s="49" t="str">
        <x:v>既済フォルダ、終了報告書、最終請求・原本返却の実例</x:v>
      </x:c>
      <x:c r="I218" s="49" t="str">
        <x:v>終了報告、既済案件、最終請求、返却記録</x:v>
      </x:c>
      <x:c r="J218" s="49" t="str">
        <x:v>弁護士＋事務局長</x:v>
      </x:c>
      <x:c r="K218" s="49" t="str">
        <x:v>P1</x:v>
      </x:c>
      <x:c r="L218" s="49" t="str">
        <x:v>一部可</x:v>
      </x:c>
      <x:c r="M218" s="49" t="str">
        <x:v>未回答</x:v>
      </x:c>
      <x:c r="N218" s="49" t="str"/>
      <x:c r="O218" s="49" t="str"/>
      <x:c r="P218" s="49" t="str"/>
    </x:row>
    <x:row r="219">
      <x:c r="A219" s="49" t="str">
        <x:v>Q-215</x:v>
      </x:c>
      <x:c r="B219" s="49" t="str">
        <x:v>11_成果・終結・知識化</x:v>
      </x:c>
      <x:c r="C219" s="49" t="str">
        <x:v>WF-19〜WF-22</x:v>
      </x:c>
      <x:c r="D219" s="49" t="str">
        <x:v>実態/証跡</x:v>
      </x:c>
      <x:c r="E219" s="49" t="str">
        <x:v>依頼者原本・預かり物の一覧は受任時から台帳化しますか。</x:v>
      </x:c>
      <x:c r="F219" s="49" t="str">
        <x:v>業務・財務・原本・期限を閉鎖し、再利用可能な学びを残すため</x:v>
      </x:c>
      <x:c r="G219" s="49" t="str">
        <x:v>Yes/No＋条件・例外</x:v>
      </x:c>
      <x:c r="H219" s="49" t="str">
        <x:v>既済フォルダ、終了報告書、最終請求・原本返却の実例</x:v>
      </x:c>
      <x:c r="I219" s="49" t="str">
        <x:v>終了報告、既済案件、最終請求、返却記録</x:v>
      </x:c>
      <x:c r="J219" s="49" t="str">
        <x:v>弁護士＋事務局長</x:v>
      </x:c>
      <x:c r="K219" s="49" t="str">
        <x:v>P1</x:v>
      </x:c>
      <x:c r="L219" s="49" t="str">
        <x:v>一部可</x:v>
      </x:c>
      <x:c r="M219" s="49" t="str">
        <x:v>未回答</x:v>
      </x:c>
      <x:c r="N219" s="49" t="str"/>
      <x:c r="O219" s="49" t="str"/>
      <x:c r="P219" s="49" t="str"/>
    </x:row>
    <x:row r="220">
      <x:c r="A220" s="49" t="str">
        <x:v>Q-216</x:v>
      </x:c>
      <x:c r="B220" s="49" t="str">
        <x:v>11_成果・終結・知識化</x:v>
      </x:c>
      <x:c r="C220" s="49" t="str">
        <x:v>WF-19〜WF-22</x:v>
      </x:c>
      <x:c r="D220" s="49" t="str">
        <x:v>実態/証跡</x:v>
      </x:c>
      <x:c r="E220" s="49" t="str">
        <x:v>原本返却の方法、受領確認、未返却理由をどう記録しますか。</x:v>
      </x:c>
      <x:c r="F220" s="49" t="str">
        <x:v>業務・財務・原本・期限を閉鎖し、再利用可能な学びを残すため</x:v>
      </x:c>
      <x:c r="G220" s="49" t="str">
        <x:v>Yes/No＋条件・例外</x:v>
      </x:c>
      <x:c r="H220" s="49" t="str">
        <x:v>既済フォルダ、終了報告書、最終請求・原本返却の実例</x:v>
      </x:c>
      <x:c r="I220" s="49" t="str">
        <x:v>終了報告、既済案件、最終請求、返却記録</x:v>
      </x:c>
      <x:c r="J220" s="49" t="str">
        <x:v>弁護士＋事務局長</x:v>
      </x:c>
      <x:c r="K220" s="49" t="str">
        <x:v>P2</x:v>
      </x:c>
      <x:c r="L220" s="49" t="str">
        <x:v>一部可</x:v>
      </x:c>
      <x:c r="M220" s="49" t="str">
        <x:v>未回答</x:v>
      </x:c>
      <x:c r="N220" s="49" t="str"/>
      <x:c r="O220" s="49" t="str"/>
      <x:c r="P220" s="49" t="str"/>
    </x:row>
    <x:row r="221">
      <x:c r="A221" s="49" t="str">
        <x:v>Q-217</x:v>
      </x:c>
      <x:c r="B221" s="49" t="str">
        <x:v>11_成果・終結・知識化</x:v>
      </x:c>
      <x:c r="C221" s="49" t="str">
        <x:v>WF-19〜WF-22</x:v>
      </x:c>
      <x:c r="D221" s="49" t="str">
        <x:v>実態/証跡</x:v>
      </x:c>
      <x:c r="E221" s="49" t="str">
        <x:v>終了報告書に必ず含める項目は何ですか。</x:v>
      </x:c>
      <x:c r="F221" s="49" t="str">
        <x:v>業務・財務・原本・期限を閉鎖し、再利用可能な学びを残すため</x:v>
      </x:c>
      <x:c r="G221" s="49" t="str">
        <x:v>Yes/No＋条件・例外</x:v>
      </x:c>
      <x:c r="H221" s="49" t="str">
        <x:v>既済フォルダ、終了報告書、最終請求・原本返却の実例</x:v>
      </x:c>
      <x:c r="I221" s="49" t="str">
        <x:v>終了報告、既済案件、最終請求、返却記録</x:v>
      </x:c>
      <x:c r="J221" s="49" t="str">
        <x:v>弁護士＋事務局長</x:v>
      </x:c>
      <x:c r="K221" s="49" t="str">
        <x:v>P2</x:v>
      </x:c>
      <x:c r="L221" s="49" t="str">
        <x:v>一部可</x:v>
      </x:c>
      <x:c r="M221" s="49" t="str">
        <x:v>未回答</x:v>
      </x:c>
      <x:c r="N221" s="49" t="str"/>
      <x:c r="O221" s="49" t="str"/>
      <x:c r="P221" s="49" t="str"/>
    </x:row>
    <x:row r="222">
      <x:c r="A222" s="49" t="str">
        <x:v>Q-218</x:v>
      </x:c>
      <x:c r="B222" s="49" t="str">
        <x:v>11_成果・終結・知識化</x:v>
      </x:c>
      <x:c r="C222" s="49" t="str">
        <x:v>WF-19〜WF-22</x:v>
      </x:c>
      <x:c r="D222" s="49" t="str">
        <x:v>実態/証跡</x:v>
      </x:c>
      <x:c r="E222" s="49" t="str">
        <x:v>終了報告書、最終請求書、返却物、成果物をclosing packageとして束ねますか。</x:v>
      </x:c>
      <x:c r="F222" s="49" t="str">
        <x:v>業務・財務・原本・期限を閉鎖し、再利用可能な学びを残すため</x:v>
      </x:c>
      <x:c r="G222" s="49" t="str">
        <x:v>Yes/No＋条件・例外</x:v>
      </x:c>
      <x:c r="H222" s="49" t="str">
        <x:v>既済フォルダ、終了報告書、最終請求・原本返却の実例</x:v>
      </x:c>
      <x:c r="I222" s="49" t="str">
        <x:v>終了報告、既済案件、最終請求、返却記録</x:v>
      </x:c>
      <x:c r="J222" s="49" t="str">
        <x:v>弁護士＋事務局長</x:v>
      </x:c>
      <x:c r="K222" s="49" t="str">
        <x:v>P2</x:v>
      </x:c>
      <x:c r="L222" s="49" t="str">
        <x:v>一部可</x:v>
      </x:c>
      <x:c r="M222" s="49" t="str">
        <x:v>未回答</x:v>
      </x:c>
      <x:c r="N222" s="49" t="str"/>
      <x:c r="O222" s="49" t="str"/>
      <x:c r="P222" s="49" t="str"/>
    </x:row>
    <x:row r="223">
      <x:c r="A223" s="49" t="str">
        <x:v>Q-219</x:v>
      </x:c>
      <x:c r="B223" s="49" t="str">
        <x:v>11_成果・終結・知識化</x:v>
      </x:c>
      <x:c r="C223" s="49" t="str">
        <x:v>WF-19〜WF-22</x:v>
      </x:c>
      <x:c r="D223" s="49" t="str">
        <x:v>実態/証跡</x:v>
      </x:c>
      <x:c r="E223" s="49" t="str">
        <x:v>終了報告送付後の依頼者受領確認を必須にしますか。</x:v>
      </x:c>
      <x:c r="F223" s="49" t="str">
        <x:v>業務・財務・原本・期限を閉鎖し、再利用可能な学びを残すため</x:v>
      </x:c>
      <x:c r="G223" s="49" t="str">
        <x:v>Yes/No＋条件・例外</x:v>
      </x:c>
      <x:c r="H223" s="49" t="str">
        <x:v>既済フォルダ、終了報告書、最終請求・原本返却の実例</x:v>
      </x:c>
      <x:c r="I223" s="49" t="str">
        <x:v>終了報告、既済案件、最終請求、返却記録</x:v>
      </x:c>
      <x:c r="J223" s="49" t="str">
        <x:v>弁護士＋事務局長</x:v>
      </x:c>
      <x:c r="K223" s="49" t="str">
        <x:v>P0</x:v>
      </x:c>
      <x:c r="L223" s="49" t="str">
        <x:v>一部可</x:v>
      </x:c>
      <x:c r="M223" s="49" t="str">
        <x:v>未回答</x:v>
      </x:c>
      <x:c r="N223" s="49" t="str"/>
      <x:c r="O223" s="49" t="str"/>
      <x:c r="P223" s="49" t="str"/>
    </x:row>
    <x:row r="224">
      <x:c r="A224" s="49" t="str">
        <x:v>Q-220</x:v>
      </x:c>
      <x:c r="B224" s="49" t="str">
        <x:v>11_成果・終結・知識化</x:v>
      </x:c>
      <x:c r="C224" s="49" t="str">
        <x:v>WF-19〜WF-22</x:v>
      </x:c>
      <x:c r="D224" s="49" t="str">
        <x:v>実態/証跡</x:v>
      </x:c>
      <x:c r="E224" s="49" t="str">
        <x:v>今後の期限・保管義務・再相談条件を終了報告へ入れますか。</x:v>
      </x:c>
      <x:c r="F224" s="49" t="str">
        <x:v>業務・財務・原本・期限を閉鎖し、再利用可能な学びを残すため</x:v>
      </x:c>
      <x:c r="G224" s="49" t="str">
        <x:v>Yes/No＋条件・例外</x:v>
      </x:c>
      <x:c r="H224" s="49" t="str">
        <x:v>既済フォルダ、終了報告書、最終請求・原本返却の実例</x:v>
      </x:c>
      <x:c r="I224" s="49" t="str">
        <x:v>終了報告、既済案件、最終請求、返却記録</x:v>
      </x:c>
      <x:c r="J224" s="49" t="str">
        <x:v>弁護士＋事務局長</x:v>
      </x:c>
      <x:c r="K224" s="49" t="str">
        <x:v>P0</x:v>
      </x:c>
      <x:c r="L224" s="49" t="str">
        <x:v>一部可</x:v>
      </x:c>
      <x:c r="M224" s="49" t="str">
        <x:v>未回答</x:v>
      </x:c>
      <x:c r="N224" s="49" t="str"/>
      <x:c r="O224" s="49" t="str"/>
      <x:c r="P224" s="49" t="str"/>
    </x:row>
    <x:row r="225">
      <x:c r="A225" s="49" t="str">
        <x:v>Q-221</x:v>
      </x:c>
      <x:c r="B225" s="49" t="str">
        <x:v>11_成果・終結・知識化</x:v>
      </x:c>
      <x:c r="C225" s="49" t="str">
        <x:v>WF-19〜WF-22</x:v>
      </x:c>
      <x:c r="D225" s="49" t="str">
        <x:v>実態/証跡</x:v>
      </x:c>
      <x:c r="E225" s="49" t="str">
        <x:v>Salesforce CloseDateを入れる前の必須チェック項目は何ですか。</x:v>
      </x:c>
      <x:c r="F225" s="49" t="str">
        <x:v>業務・財務・原本・期限を閉鎖し、再利用可能な学びを残すため</x:v>
      </x:c>
      <x:c r="G225" s="49" t="str">
        <x:v>Yes/No＋条件・例外</x:v>
      </x:c>
      <x:c r="H225" s="49" t="str">
        <x:v>既済フォルダ、終了報告書、最終請求・原本返却の実例</x:v>
      </x:c>
      <x:c r="I225" s="49" t="str">
        <x:v>終了報告、既済案件、最終請求、返却記録</x:v>
      </x:c>
      <x:c r="J225" s="49" t="str">
        <x:v>弁護士＋事務局長</x:v>
      </x:c>
      <x:c r="K225" s="49" t="str">
        <x:v>P0</x:v>
      </x:c>
      <x:c r="L225" s="49" t="str">
        <x:v>一部可</x:v>
      </x:c>
      <x:c r="M225" s="49" t="str">
        <x:v>未回答</x:v>
      </x:c>
      <x:c r="N225" s="49" t="str"/>
      <x:c r="O225" s="49" t="str"/>
      <x:c r="P225" s="49" t="str"/>
    </x:row>
    <x:row r="226">
      <x:c r="A226" s="49" t="str">
        <x:v>Q-222</x:v>
      </x:c>
      <x:c r="B226" s="49" t="str">
        <x:v>11_成果・終結・知識化</x:v>
      </x:c>
      <x:c r="C226" s="49" t="str">
        <x:v>WF-19〜WF-22</x:v>
      </x:c>
      <x:c r="D226" s="49" t="str">
        <x:v>実態/証跡</x:v>
      </x:c>
      <x:c r="E226" s="49" t="str">
        <x:v>Boxフォルダを既済へ動かすタイミングと、移動権限者は誰ですか。</x:v>
      </x:c>
      <x:c r="F226" s="49" t="str">
        <x:v>業務・財務・原本・期限を閉鎖し、再利用可能な学びを残すため</x:v>
      </x:c>
      <x:c r="G226" s="49" t="str">
        <x:v>役割選択＋責任者</x:v>
      </x:c>
      <x:c r="H226" s="49" t="str">
        <x:v>既済フォルダ、終了報告書、最終請求・原本返却の実例</x:v>
      </x:c>
      <x:c r="I226" s="49" t="str">
        <x:v>終了報告、既済案件、最終請求、返却記録</x:v>
      </x:c>
      <x:c r="J226" s="49" t="str">
        <x:v>弁護士＋事務局長</x:v>
      </x:c>
      <x:c r="K226" s="49" t="str">
        <x:v>P2</x:v>
      </x:c>
      <x:c r="L226" s="49" t="str">
        <x:v>一部可</x:v>
      </x:c>
      <x:c r="M226" s="49" t="str">
        <x:v>未回答</x:v>
      </x:c>
      <x:c r="N226" s="49" t="str"/>
      <x:c r="O226" s="49" t="str"/>
      <x:c r="P226" s="49" t="str"/>
    </x:row>
    <x:row r="227">
      <x:c r="A227" s="49" t="str">
        <x:v>Q-223</x:v>
      </x:c>
      <x:c r="B227" s="49" t="str">
        <x:v>11_成果・終結・知識化</x:v>
      </x:c>
      <x:c r="C227" s="49" t="str">
        <x:v>WF-19〜WF-22</x:v>
      </x:c>
      <x:c r="D227" s="49" t="str">
        <x:v>実態/証跡</x:v>
      </x:c>
      <x:c r="E227" s="49" t="str">
        <x:v>終結時に案件サマリー、重要判断、結果、使用ひな形を知識化しますか。</x:v>
      </x:c>
      <x:c r="F227" s="49" t="str">
        <x:v>業務・財務・原本・期限を閉鎖し、再利用可能な学びを残すため</x:v>
      </x:c>
      <x:c r="G227" s="49" t="str">
        <x:v>Yes/No＋条件・例外</x:v>
      </x:c>
      <x:c r="H227" s="49" t="str">
        <x:v>既済フォルダ、終了報告書、最終請求・原本返却の実例</x:v>
      </x:c>
      <x:c r="I227" s="49" t="str">
        <x:v>終了報告、既済案件、最終請求、返却記録</x:v>
      </x:c>
      <x:c r="J227" s="49" t="str">
        <x:v>弁護士＋事務局長</x:v>
      </x:c>
      <x:c r="K227" s="49" t="str">
        <x:v>P0</x:v>
      </x:c>
      <x:c r="L227" s="49" t="str">
        <x:v>一部可</x:v>
      </x:c>
      <x:c r="M227" s="49" t="str">
        <x:v>未回答</x:v>
      </x:c>
      <x:c r="N227" s="49" t="str"/>
      <x:c r="O227" s="49" t="str"/>
      <x:c r="P227" s="49" t="str"/>
    </x:row>
    <x:row r="228">
      <x:c r="A228" s="49" t="str">
        <x:v>Q-224</x:v>
      </x:c>
      <x:c r="B228" s="49" t="str">
        <x:v>11_成果・終結・知識化</x:v>
      </x:c>
      <x:c r="C228" s="49" t="str">
        <x:v>WF-19〜WF-22</x:v>
      </x:c>
      <x:c r="D228" s="49" t="str">
        <x:v>実態/証跡</x:v>
      </x:c>
      <x:c r="E228" s="49" t="str">
        <x:v>知識化データは匿名化し、原案件へのprovenanceを限定権限で保持しますか。</x:v>
      </x:c>
      <x:c r="F228" s="49" t="str">
        <x:v>業務・財務・原本・期限を閉鎖し、再利用可能な学びを残すため</x:v>
      </x:c>
      <x:c r="G228" s="49" t="str">
        <x:v>Yes/No＋条件・例外</x:v>
      </x:c>
      <x:c r="H228" s="49" t="str">
        <x:v>既済フォルダ、終了報告書、最終請求・原本返却の実例</x:v>
      </x:c>
      <x:c r="I228" s="49" t="str">
        <x:v>終了報告、既済案件、最終請求、返却記録</x:v>
      </x:c>
      <x:c r="J228" s="49" t="str">
        <x:v>弁護士＋事務局長</x:v>
      </x:c>
      <x:c r="K228" s="49" t="str">
        <x:v>P2</x:v>
      </x:c>
      <x:c r="L228" s="49" t="str">
        <x:v>一部可</x:v>
      </x:c>
      <x:c r="M228" s="49" t="str">
        <x:v>未回答</x:v>
      </x:c>
      <x:c r="N228" s="49" t="str"/>
      <x:c r="O228" s="49" t="str"/>
      <x:c r="P228" s="49" t="str"/>
    </x:row>
    <x:row r="229">
      <x:c r="A229" s="49" t="str">
        <x:v>Q-225</x:v>
      </x:c>
      <x:c r="B229" s="49" t="str">
        <x:v>11_成果・終結・知識化</x:v>
      </x:c>
      <x:c r="C229" s="49" t="str">
        <x:v>WF-19〜WF-22</x:v>
      </x:c>
      <x:c r="D229" s="49" t="str">
        <x:v>定義/ルール</x:v>
      </x:c>
      <x:c r="E229" s="49" t="str">
        <x:v>良い成果物をひな形へ昇格する評価基準と承認者は誰ですか。</x:v>
      </x:c>
      <x:c r="F229" s="49" t="str">
        <x:v>業務・財務・原本・期限を閉鎖し、再利用可能な学びを残すため</x:v>
      </x:c>
      <x:c r="G229" s="49" t="str">
        <x:v>役割選択＋責任者</x:v>
      </x:c>
      <x:c r="H229" s="49" t="str">
        <x:v>既済フォルダ、終了報告書、最終請求・原本返却の実例</x:v>
      </x:c>
      <x:c r="I229" s="49" t="str">
        <x:v>終了報告、既済案件、最終請求、返却記録</x:v>
      </x:c>
      <x:c r="J229" s="49" t="str">
        <x:v>弁護士＋事務局長</x:v>
      </x:c>
      <x:c r="K229" s="49" t="str">
        <x:v>P2</x:v>
      </x:c>
      <x:c r="L229" s="49" t="str">
        <x:v>聴取必須</x:v>
      </x:c>
      <x:c r="M229" s="49" t="str">
        <x:v>未回答</x:v>
      </x:c>
      <x:c r="N229" s="49" t="str"/>
      <x:c r="O229" s="49" t="str"/>
      <x:c r="P229" s="49" t="str"/>
    </x:row>
    <x:row r="230">
      <x:c r="A230" s="49" t="str">
        <x:v>Q-226</x:v>
      </x:c>
      <x:c r="B230" s="49" t="str">
        <x:v>11_成果・終結・知識化</x:v>
      </x:c>
      <x:c r="C230" s="49" t="str">
        <x:v>WF-19〜WF-22</x:v>
      </x:c>
      <x:c r="D230" s="49" t="str">
        <x:v>実態/証跡</x:v>
      </x:c>
      <x:c r="E230" s="49" t="str">
        <x:v>終結後の顧客満足・紹介・再依頼のフィードバックを取りますか。</x:v>
      </x:c>
      <x:c r="F230" s="49" t="str">
        <x:v>業務・財務・原本・期限を閉鎖し、再利用可能な学びを残すため</x:v>
      </x:c>
      <x:c r="G230" s="49" t="str">
        <x:v>Yes/No＋条件・例外</x:v>
      </x:c>
      <x:c r="H230" s="49" t="str">
        <x:v>既済フォルダ、終了報告書、最終請求・原本返却の実例</x:v>
      </x:c>
      <x:c r="I230" s="49" t="str">
        <x:v>終了報告、既済案件、最終請求、返却記録</x:v>
      </x:c>
      <x:c r="J230" s="49" t="str">
        <x:v>弁護士＋事務局長</x:v>
      </x:c>
      <x:c r="K230" s="49" t="str">
        <x:v>P0</x:v>
      </x:c>
      <x:c r="L230" s="49" t="str">
        <x:v>一部可</x:v>
      </x:c>
      <x:c r="M230" s="49" t="str">
        <x:v>未回答</x:v>
      </x:c>
      <x:c r="N230" s="49" t="str"/>
      <x:c r="O230" s="49" t="str"/>
      <x:c r="P230" s="49" t="str"/>
    </x:row>
    <x:row r="231">
      <x:c r="A231" s="49" t="str">
        <x:v>Q-227</x:v>
      </x:c>
      <x:c r="B231" s="49" t="str">
        <x:v>11_成果・終結・知識化</x:v>
      </x:c>
      <x:c r="C231" s="49" t="str">
        <x:v>WF-19〜WF-22</x:v>
      </x:c>
      <x:c r="D231" s="49" t="str">
        <x:v>定義/ルール</x:v>
      </x:c>
      <x:c r="E231" s="49" t="str">
        <x:v>再開・再受任が生じた場合、旧案件を開くか新案件を作るかの基準は何ですか。</x:v>
      </x:c>
      <x:c r="F231" s="49" t="str">
        <x:v>業務・財務・原本・期限を閉鎖し、再利用可能な学びを残すため</x:v>
      </x:c>
      <x:c r="G231" s="49" t="str">
        <x:v>Yes/No＋条件・例外</x:v>
      </x:c>
      <x:c r="H231" s="49" t="str">
        <x:v>既済フォルダ、終了報告書、最終請求・原本返却の実例</x:v>
      </x:c>
      <x:c r="I231" s="49" t="str">
        <x:v>終了報告、既済案件、最終請求、返却記録</x:v>
      </x:c>
      <x:c r="J231" s="49" t="str">
        <x:v>弁護士＋事務局長</x:v>
      </x:c>
      <x:c r="K231" s="49" t="str">
        <x:v>P2</x:v>
      </x:c>
      <x:c r="L231" s="49" t="str">
        <x:v>聴取必須</x:v>
      </x:c>
      <x:c r="M231" s="49" t="str">
        <x:v>未回答</x:v>
      </x:c>
      <x:c r="N231" s="49" t="str"/>
      <x:c r="O231" s="49" t="str"/>
      <x:c r="P231" s="49" t="str"/>
    </x:row>
    <x:row r="232">
      <x:c r="A232" s="49" t="str">
        <x:v>Q-228</x:v>
      </x:c>
      <x:c r="B232" s="49" t="str">
        <x:v>12_例外・品質・セキュリティ</x:v>
      </x:c>
      <x:c r="C232" s="49" t="str">
        <x:v>横断</x:v>
      </x:c>
      <x:c r="D232" s="49" t="str">
        <x:v>実態/証跡</x:v>
      </x:c>
      <x:c r="E232" s="49" t="str">
        <x:v>当日対応が必要な緊急案件で通常ゲートを省略する場合、最低限何を残しますか。</x:v>
      </x:c>
      <x:c r="F232" s="49" t="str">
        <x:v>通常フロー外でも安全・監査・復旧可能性を維持するため</x:v>
      </x:c>
      <x:c r="G232" s="49" t="str">
        <x:v>Yes/No＋条件・例外</x:v>
      </x:c>
      <x:c r="H232" s="49" t="str">
        <x:v>2FA、Box権限、BYOD例外、AI自己監査方針、困りごとログ</x:v>
      </x:c>
      <x:c r="I232" s="49" t="str">
        <x:v>インシデント、アクセスログ、AI利用ルール、スタッフ聴取</x:v>
      </x:c>
      <x:c r="J232" s="49" t="str">
        <x:v>浅井先生＋中森＋外部SE</x:v>
      </x:c>
      <x:c r="K232" s="49" t="str">
        <x:v>P1</x:v>
      </x:c>
      <x:c r="L232" s="49" t="str">
        <x:v>一部可</x:v>
      </x:c>
      <x:c r="M232" s="49" t="str">
        <x:v>未回答</x:v>
      </x:c>
      <x:c r="N232" s="49" t="str"/>
      <x:c r="O232" s="49" t="str"/>
      <x:c r="P232" s="49" t="str"/>
    </x:row>
    <x:row r="233">
      <x:c r="A233" s="49" t="str">
        <x:v>Q-229</x:v>
      </x:c>
      <x:c r="B233" s="49" t="str">
        <x:v>12_例外・品質・セキュリティ</x:v>
      </x:c>
      <x:c r="C233" s="49" t="str">
        <x:v>横断</x:v>
      </x:c>
      <x:c r="D233" s="49" t="str">
        <x:v>実態/証跡</x:v>
      </x:c>
      <x:c r="E233" s="49" t="str">
        <x:v>受任後にコンフリ疑義が生じた場合、作業停止・連絡・記録をどう行いますか。</x:v>
      </x:c>
      <x:c r="F233" s="49" t="str">
        <x:v>通常フロー外でも安全・監査・復旧可能性を維持するため</x:v>
      </x:c>
      <x:c r="G233" s="49" t="str">
        <x:v>Yes/No＋条件・例外</x:v>
      </x:c>
      <x:c r="H233" s="49" t="str">
        <x:v>2FA、Box権限、BYOD例外、AI自己監査方針、困りごとログ</x:v>
      </x:c>
      <x:c r="I233" s="49" t="str">
        <x:v>インシデント、アクセスログ、AI利用ルール、スタッフ聴取</x:v>
      </x:c>
      <x:c r="J233" s="49" t="str">
        <x:v>浅井先生＋中森＋外部SE</x:v>
      </x:c>
      <x:c r="K233" s="49" t="str">
        <x:v>P0</x:v>
      </x:c>
      <x:c r="L233" s="49" t="str">
        <x:v>一部可</x:v>
      </x:c>
      <x:c r="M233" s="49" t="str">
        <x:v>未回答</x:v>
      </x:c>
      <x:c r="N233" s="49" t="str"/>
      <x:c r="O233" s="49" t="str"/>
      <x:c r="P233" s="49" t="str"/>
    </x:row>
    <x:row r="234">
      <x:c r="A234" s="49" t="str">
        <x:v>Q-230</x:v>
      </x:c>
      <x:c r="B234" s="49" t="str">
        <x:v>12_例外・品質・セキュリティ</x:v>
      </x:c>
      <x:c r="C234" s="49" t="str">
        <x:v>横断</x:v>
      </x:c>
      <x:c r="D234" s="49" t="str">
        <x:v>実態/証跡</x:v>
      </x:c>
      <x:c r="E234" s="49" t="str">
        <x:v>依頼者が連絡不能、協力拒否、費用未払いとなった場合の段階と解除手順は何ですか。</x:v>
      </x:c>
      <x:c r="F234" s="49" t="str">
        <x:v>通常フロー外でも安全・監査・復旧可能性を維持するため</x:v>
      </x:c>
      <x:c r="G234" s="49" t="str">
        <x:v>Yes/No＋条件・例外</x:v>
      </x:c>
      <x:c r="H234" s="49" t="str">
        <x:v>2FA、Box権限、BYOD例外、AI自己監査方針、困りごとログ</x:v>
      </x:c>
      <x:c r="I234" s="49" t="str">
        <x:v>インシデント、アクセスログ、AI利用ルール、スタッフ聴取</x:v>
      </x:c>
      <x:c r="J234" s="49" t="str">
        <x:v>浅井先生＋中森＋外部SE</x:v>
      </x:c>
      <x:c r="K234" s="49" t="str">
        <x:v>P1</x:v>
      </x:c>
      <x:c r="L234" s="49" t="str">
        <x:v>一部可</x:v>
      </x:c>
      <x:c r="M234" s="49" t="str">
        <x:v>未回答</x:v>
      </x:c>
      <x:c r="N234" s="49" t="str"/>
      <x:c r="O234" s="49" t="str"/>
      <x:c r="P234" s="49" t="str"/>
    </x:row>
    <x:row r="235">
      <x:c r="A235" s="49" t="str">
        <x:v>Q-231</x:v>
      </x:c>
      <x:c r="B235" s="49" t="str">
        <x:v>12_例外・品質・セキュリティ</x:v>
      </x:c>
      <x:c r="C235" s="49" t="str">
        <x:v>横断</x:v>
      </x:c>
      <x:c r="D235" s="49" t="str">
        <x:v>実態/証跡</x:v>
      </x:c>
      <x:c r="E235" s="49" t="str">
        <x:v>担当弁護士不在・退職・長期休暇時の自動エスカレーションは必要ですか。</x:v>
      </x:c>
      <x:c r="F235" s="49" t="str">
        <x:v>通常フロー外でも安全・監査・復旧可能性を維持するため</x:v>
      </x:c>
      <x:c r="G235" s="49" t="str">
        <x:v>Yes/No＋条件・例外</x:v>
      </x:c>
      <x:c r="H235" s="49" t="str">
        <x:v>2FA、Box権限、BYOD例外、AI自己監査方針、困りごとログ</x:v>
      </x:c>
      <x:c r="I235" s="49" t="str">
        <x:v>インシデント、アクセスログ、AI利用ルール、スタッフ聴取</x:v>
      </x:c>
      <x:c r="J235" s="49" t="str">
        <x:v>浅井先生＋中森＋外部SE</x:v>
      </x:c>
      <x:c r="K235" s="49" t="str">
        <x:v>P1</x:v>
      </x:c>
      <x:c r="L235" s="49" t="str">
        <x:v>一部可</x:v>
      </x:c>
      <x:c r="M235" s="49" t="str">
        <x:v>未回答</x:v>
      </x:c>
      <x:c r="N235" s="49" t="str"/>
      <x:c r="O235" s="49" t="str"/>
      <x:c r="P235" s="49" t="str"/>
    </x:row>
    <x:row r="236">
      <x:c r="A236" s="49" t="str">
        <x:v>Q-232</x:v>
      </x:c>
      <x:c r="B236" s="49" t="str">
        <x:v>12_例外・品質・セキュリティ</x:v>
      </x:c>
      <x:c r="C236" s="49" t="str">
        <x:v>横断</x:v>
      </x:c>
      <x:c r="D236" s="49" t="str">
        <x:v>実態/証跡</x:v>
      </x:c>
      <x:c r="E236" s="49" t="str">
        <x:v>誤案件へ紐付けたイベント・ファイルを削除せず訂正履歴で扱いますか。</x:v>
      </x:c>
      <x:c r="F236" s="49" t="str">
        <x:v>通常フロー外でも安全・監査・復旧可能性を維持するため</x:v>
      </x:c>
      <x:c r="G236" s="49" t="str">
        <x:v>Yes/No＋条件・例外</x:v>
      </x:c>
      <x:c r="H236" s="49" t="str">
        <x:v>2FA、Box権限、BYOD例外、AI自己監査方針、困りごとログ</x:v>
      </x:c>
      <x:c r="I236" s="49" t="str">
        <x:v>インシデント、アクセスログ、AI利用ルール、スタッフ聴取</x:v>
      </x:c>
      <x:c r="J236" s="49" t="str">
        <x:v>浅井先生＋中森＋外部SE</x:v>
      </x:c>
      <x:c r="K236" s="49" t="str">
        <x:v>P1</x:v>
      </x:c>
      <x:c r="L236" s="49" t="str">
        <x:v>一部可</x:v>
      </x:c>
      <x:c r="M236" s="49" t="str">
        <x:v>未回答</x:v>
      </x:c>
      <x:c r="N236" s="49" t="str"/>
      <x:c r="O236" s="49" t="str"/>
      <x:c r="P236" s="49" t="str"/>
    </x:row>
    <x:row r="237">
      <x:c r="A237" s="49" t="str">
        <x:v>Q-233</x:v>
      </x:c>
      <x:c r="B237" s="49" t="str">
        <x:v>12_例外・品質・セキュリティ</x:v>
      </x:c>
      <x:c r="C237" s="49" t="str">
        <x:v>横断</x:v>
      </x:c>
      <x:c r="D237" s="49" t="str">
        <x:v>実態/証跡</x:v>
      </x:c>
      <x:c r="E237" s="49" t="str">
        <x:v>重複相談・重複案件を統合する権限と、旧IDの保持方法は何ですか。</x:v>
      </x:c>
      <x:c r="F237" s="49" t="str">
        <x:v>通常フロー外でも安全・監査・復旧可能性を維持するため</x:v>
      </x:c>
      <x:c r="G237" s="49" t="str">
        <x:v>Yes/No＋条件・例外</x:v>
      </x:c>
      <x:c r="H237" s="49" t="str">
        <x:v>2FA、Box権限、BYOD例外、AI自己監査方針、困りごとログ</x:v>
      </x:c>
      <x:c r="I237" s="49" t="str">
        <x:v>インシデント、アクセスログ、AI利用ルール、スタッフ聴取</x:v>
      </x:c>
      <x:c r="J237" s="49" t="str">
        <x:v>浅井先生＋中森＋外部SE</x:v>
      </x:c>
      <x:c r="K237" s="49" t="str">
        <x:v>P1</x:v>
      </x:c>
      <x:c r="L237" s="49" t="str">
        <x:v>一部可</x:v>
      </x:c>
      <x:c r="M237" s="49" t="str">
        <x:v>未回答</x:v>
      </x:c>
      <x:c r="N237" s="49" t="str"/>
      <x:c r="O237" s="49" t="str"/>
      <x:c r="P237" s="49" t="str"/>
    </x:row>
    <x:row r="238">
      <x:c r="A238" s="49" t="str">
        <x:v>Q-234</x:v>
      </x:c>
      <x:c r="B238" s="49" t="str">
        <x:v>12_例外・品質・セキュリティ</x:v>
      </x:c>
      <x:c r="C238" s="49" t="str">
        <x:v>横断</x:v>
      </x:c>
      <x:c r="D238" s="49" t="str">
        <x:v>定義/ルール</x:v>
      </x:c>
      <x:c r="E238" s="49" t="str">
        <x:v>AI分類誤りを誰が直し、その修正を学習データへ還流しますか。</x:v>
      </x:c>
      <x:c r="F238" s="49" t="str">
        <x:v>通常フロー外でも安全・監査・復旧可能性を維持するため</x:v>
      </x:c>
      <x:c r="G238" s="49" t="str">
        <x:v>役割選択＋責任者</x:v>
      </x:c>
      <x:c r="H238" s="49" t="str">
        <x:v>2FA、Box権限、BYOD例外、AI自己監査方針、困りごとログ</x:v>
      </x:c>
      <x:c r="I238" s="49" t="str">
        <x:v>インシデント、アクセスログ、AI利用ルール、スタッフ聴取</x:v>
      </x:c>
      <x:c r="J238" s="49" t="str">
        <x:v>浅井先生＋中森＋外部SE</x:v>
      </x:c>
      <x:c r="K238" s="49" t="str">
        <x:v>P1</x:v>
      </x:c>
      <x:c r="L238" s="49" t="str">
        <x:v>聴取必須</x:v>
      </x:c>
      <x:c r="M238" s="49" t="str">
        <x:v>未回答</x:v>
      </x:c>
      <x:c r="N238" s="49" t="str"/>
      <x:c r="O238" s="49" t="str"/>
      <x:c r="P238" s="49" t="str"/>
    </x:row>
    <x:row r="239">
      <x:c r="A239" s="49" t="str">
        <x:v>Q-235</x:v>
      </x:c>
      <x:c r="B239" s="49" t="str">
        <x:v>12_例外・品質・セキュリティ</x:v>
      </x:c>
      <x:c r="C239" s="49" t="str">
        <x:v>横断</x:v>
      </x:c>
      <x:c r="D239" s="49" t="str">
        <x:v>実態/証跡</x:v>
      </x:c>
      <x:c r="E239" s="49" t="str">
        <x:v>依頼者から訂正・削除・開示要求があった場合、各SaaSを横断して対応できますか。</x:v>
      </x:c>
      <x:c r="F239" s="49" t="str">
        <x:v>通常フロー外でも安全・監査・復旧可能性を維持するため</x:v>
      </x:c>
      <x:c r="G239" s="49" t="str">
        <x:v>Yes/No＋条件・例外</x:v>
      </x:c>
      <x:c r="H239" s="49" t="str">
        <x:v>2FA、Box権限、BYOD例外、AI自己監査方針、困りごとログ</x:v>
      </x:c>
      <x:c r="I239" s="49" t="str">
        <x:v>インシデント、アクセスログ、AI利用ルール、スタッフ聴取</x:v>
      </x:c>
      <x:c r="J239" s="49" t="str">
        <x:v>浅井先生＋中森＋外部SE</x:v>
      </x:c>
      <x:c r="K239" s="49" t="str">
        <x:v>P1</x:v>
      </x:c>
      <x:c r="L239" s="49" t="str">
        <x:v>一部可</x:v>
      </x:c>
      <x:c r="M239" s="49" t="str">
        <x:v>未回答</x:v>
      </x:c>
      <x:c r="N239" s="49" t="str"/>
      <x:c r="O239" s="49" t="str"/>
      <x:c r="P239" s="49" t="str"/>
    </x:row>
    <x:row r="240">
      <x:c r="A240" s="49" t="str">
        <x:v>Q-236</x:v>
      </x:c>
      <x:c r="B240" s="49" t="str">
        <x:v>12_例外・品質・セキュリティ</x:v>
      </x:c>
      <x:c r="C240" s="49" t="str">
        <x:v>横断</x:v>
      </x:c>
      <x:c r="D240" s="49" t="str">
        <x:v>実態/証跡</x:v>
      </x:c>
      <x:c r="E240" s="49" t="str">
        <x:v>★パスワード等の参照禁止フォルダを機械処理から物理的に除外しますか。</x:v>
      </x:c>
      <x:c r="F240" s="49" t="str">
        <x:v>通常フロー外でも安全・監査・復旧可能性を維持するため</x:v>
      </x:c>
      <x:c r="G240" s="49" t="str">
        <x:v>Yes/No＋条件・例外</x:v>
      </x:c>
      <x:c r="H240" s="49" t="str">
        <x:v>2FA、Box権限、BYOD例外、AI自己監査方針、困りごとログ</x:v>
      </x:c>
      <x:c r="I240" s="49" t="str">
        <x:v>インシデント、アクセスログ、AI利用ルール、スタッフ聴取</x:v>
      </x:c>
      <x:c r="J240" s="49" t="str">
        <x:v>浅井先生＋中森＋外部SE</x:v>
      </x:c>
      <x:c r="K240" s="49" t="str">
        <x:v>P1</x:v>
      </x:c>
      <x:c r="L240" s="49" t="str">
        <x:v>一部可</x:v>
      </x:c>
      <x:c r="M240" s="49" t="str">
        <x:v>未回答</x:v>
      </x:c>
      <x:c r="N240" s="49" t="str"/>
      <x:c r="O240" s="49" t="str"/>
      <x:c r="P240" s="49" t="str"/>
    </x:row>
    <x:row r="241">
      <x:c r="A241" s="49" t="str">
        <x:v>Q-237</x:v>
      </x:c>
      <x:c r="B241" s="49" t="str">
        <x:v>12_例外・品質・セキュリティ</x:v>
      </x:c>
      <x:c r="C241" s="49" t="str">
        <x:v>横断</x:v>
      </x:c>
      <x:c r="D241" s="49" t="str">
        <x:v>実態/証跡</x:v>
      </x:c>
      <x:c r="E241" s="49" t="str">
        <x:v>BYOD端末からのアクセス・ダウンロード・ローカル残置をどう監査しますか。</x:v>
      </x:c>
      <x:c r="F241" s="49" t="str">
        <x:v>通常フロー外でも安全・監査・復旧可能性を維持するため</x:v>
      </x:c>
      <x:c r="G241" s="49" t="str">
        <x:v>Yes/No＋条件・例外</x:v>
      </x:c>
      <x:c r="H241" s="49" t="str">
        <x:v>2FA、Box権限、BYOD例外、AI自己監査方針、困りごとログ</x:v>
      </x:c>
      <x:c r="I241" s="49" t="str">
        <x:v>インシデント、アクセスログ、AI利用ルール、スタッフ聴取</x:v>
      </x:c>
      <x:c r="J241" s="49" t="str">
        <x:v>浅井先生＋中森＋外部SE</x:v>
      </x:c>
      <x:c r="K241" s="49" t="str">
        <x:v>P2</x:v>
      </x:c>
      <x:c r="L241" s="49" t="str">
        <x:v>一部可</x:v>
      </x:c>
      <x:c r="M241" s="49" t="str">
        <x:v>未回答</x:v>
      </x:c>
      <x:c r="N241" s="49" t="str"/>
      <x:c r="O241" s="49" t="str"/>
      <x:c r="P241" s="49" t="str"/>
    </x:row>
    <x:row r="242">
      <x:c r="A242" s="49" t="str">
        <x:v>Q-238</x:v>
      </x:c>
      <x:c r="B242" s="49" t="str">
        <x:v>12_例外・品質・セキュリティ</x:v>
      </x:c>
      <x:c r="C242" s="49" t="str">
        <x:v>横断</x:v>
      </x:c>
      <x:c r="D242" s="49" t="str">
        <x:v>実態/証跡</x:v>
      </x:c>
      <x:c r="E242" s="49" t="str">
        <x:v>退職・異動・アルバイト終了時のアクセス権剥奪をどのイベントで発火しますか。</x:v>
      </x:c>
      <x:c r="F242" s="49" t="str">
        <x:v>通常フロー外でも安全・監査・復旧可能性を維持するため</x:v>
      </x:c>
      <x:c r="G242" s="49" t="str">
        <x:v>Yes/No＋条件・例外</x:v>
      </x:c>
      <x:c r="H242" s="49" t="str">
        <x:v>2FA、Box権限、BYOD例外、AI自己監査方針、困りごとログ</x:v>
      </x:c>
      <x:c r="I242" s="49" t="str">
        <x:v>インシデント、アクセスログ、AI利用ルール、スタッフ聴取</x:v>
      </x:c>
      <x:c r="J242" s="49" t="str">
        <x:v>浅井先生＋中森＋外部SE</x:v>
      </x:c>
      <x:c r="K242" s="49" t="str">
        <x:v>P2</x:v>
      </x:c>
      <x:c r="L242" s="49" t="str">
        <x:v>一部可</x:v>
      </x:c>
      <x:c r="M242" s="49" t="str">
        <x:v>未回答</x:v>
      </x:c>
      <x:c r="N242" s="49" t="str"/>
      <x:c r="O242" s="49" t="str"/>
      <x:c r="P242" s="49" t="str"/>
    </x:row>
    <x:row r="243">
      <x:c r="A243" s="49" t="str">
        <x:v>Q-239</x:v>
      </x:c>
      <x:c r="B243" s="49" t="str">
        <x:v>12_例外・品質・セキュリティ</x:v>
      </x:c>
      <x:c r="C243" s="49" t="str">
        <x:v>横断</x:v>
      </x:c>
      <x:c r="D243" s="49" t="str">
        <x:v>実態/証跡</x:v>
      </x:c>
      <x:c r="E243" s="49" t="str">
        <x:v>AI出力を業務に使う際、根拠参照・人間レビュー・モデル/versionを必須にしますか。</x:v>
      </x:c>
      <x:c r="F243" s="49" t="str">
        <x:v>通常フロー外でも安全・監査・復旧可能性を維持するため</x:v>
      </x:c>
      <x:c r="G243" s="49" t="str">
        <x:v>Yes/No＋条件・例外</x:v>
      </x:c>
      <x:c r="H243" s="49" t="str">
        <x:v>2FA、Box権限、BYOD例外、AI自己監査方針、困りごとログ</x:v>
      </x:c>
      <x:c r="I243" s="49" t="str">
        <x:v>インシデント、アクセスログ、AI利用ルール、スタッフ聴取</x:v>
      </x:c>
      <x:c r="J243" s="49" t="str">
        <x:v>浅井先生＋中森＋外部SE</x:v>
      </x:c>
      <x:c r="K243" s="49" t="str">
        <x:v>P0</x:v>
      </x:c>
      <x:c r="L243" s="49" t="str">
        <x:v>一部可</x:v>
      </x:c>
      <x:c r="M243" s="49" t="str">
        <x:v>未回答</x:v>
      </x:c>
      <x:c r="N243" s="49" t="str"/>
      <x:c r="O243" s="49" t="str"/>
      <x:c r="P243" s="49" t="str"/>
    </x:row>
    <x:row r="244">
      <x:c r="A244" s="49" t="str">
        <x:v>Q-240</x:v>
      </x:c>
      <x:c r="B244" s="49" t="str">
        <x:v>12_例外・品質・セキュリティ</x:v>
      </x:c>
      <x:c r="C244" s="49" t="str">
        <x:v>横断</x:v>
      </x:c>
      <x:c r="D244" s="49" t="str">
        <x:v>実態/証跡</x:v>
      </x:c>
      <x:c r="E244" s="49" t="str">
        <x:v>NotebookLM等の要約だけから起案しないルールを技術的にどう支援しますか。</x:v>
      </x:c>
      <x:c r="F244" s="49" t="str">
        <x:v>通常フロー外でも安全・監査・復旧可能性を維持するため</x:v>
      </x:c>
      <x:c r="G244" s="49" t="str">
        <x:v>Yes/No＋条件・例外</x:v>
      </x:c>
      <x:c r="H244" s="49" t="str">
        <x:v>2FA、Box権限、BYOD例外、AI自己監査方針、困りごとログ</x:v>
      </x:c>
      <x:c r="I244" s="49" t="str">
        <x:v>インシデント、アクセスログ、AI利用ルール、スタッフ聴取</x:v>
      </x:c>
      <x:c r="J244" s="49" t="str">
        <x:v>浅井先生＋中森＋外部SE</x:v>
      </x:c>
      <x:c r="K244" s="49" t="str">
        <x:v>P2</x:v>
      </x:c>
      <x:c r="L244" s="49" t="str">
        <x:v>一部可</x:v>
      </x:c>
      <x:c r="M244" s="49" t="str">
        <x:v>未回答</x:v>
      </x:c>
      <x:c r="N244" s="49" t="str"/>
      <x:c r="O244" s="49" t="str"/>
      <x:c r="P244" s="49" t="str"/>
    </x:row>
    <x:row r="245">
      <x:c r="A245" s="49" t="str">
        <x:v>Q-241</x:v>
      </x:c>
      <x:c r="B245" s="49" t="str">
        <x:v>12_例外・品質・セキュリティ</x:v>
      </x:c>
      <x:c r="C245" s="49" t="str">
        <x:v>横断</x:v>
      </x:c>
      <x:c r="D245" s="49" t="str">
        <x:v>実態/証跡</x:v>
      </x:c>
      <x:c r="E245" s="49" t="str">
        <x:v>データ品質スコアを完全性、鮮度、整合性、証跡、確認済みで構成しますか。</x:v>
      </x:c>
      <x:c r="F245" s="49" t="str">
        <x:v>通常フロー外でも安全・監査・復旧可能性を維持するため</x:v>
      </x:c>
      <x:c r="G245" s="49" t="str">
        <x:v>Yes/No＋条件・例外</x:v>
      </x:c>
      <x:c r="H245" s="49" t="str">
        <x:v>2FA、Box権限、BYOD例外、AI自己監査方針、困りごとログ</x:v>
      </x:c>
      <x:c r="I245" s="49" t="str">
        <x:v>インシデント、アクセスログ、AI利用ルール、スタッフ聴取</x:v>
      </x:c>
      <x:c r="J245" s="49" t="str">
        <x:v>浅井先生＋中森＋外部SE</x:v>
      </x:c>
      <x:c r="K245" s="49" t="str">
        <x:v>P2</x:v>
      </x:c>
      <x:c r="L245" s="49" t="str">
        <x:v>一部可</x:v>
      </x:c>
      <x:c r="M245" s="49" t="str">
        <x:v>未回答</x:v>
      </x:c>
      <x:c r="N245" s="49" t="str"/>
      <x:c r="O245" s="49" t="str"/>
      <x:c r="P245" s="49" t="str"/>
    </x:row>
    <x:row r="246">
      <x:c r="A246" s="49" t="str">
        <x:v>Q-242</x:v>
      </x:c>
      <x:c r="B246" s="49" t="str">
        <x:v>12_例外・品質・セキュリティ</x:v>
      </x:c>
      <x:c r="C246" s="49" t="str">
        <x:v>横断</x:v>
      </x:c>
      <x:c r="D246" s="49" t="str">
        <x:v>定義/ルール</x:v>
      </x:c>
      <x:c r="E246" s="49" t="str">
        <x:v>定期的にサンプル監査する件数・層化軸・合格基準をどうしますか。</x:v>
      </x:c>
      <x:c r="F246" s="49" t="str">
        <x:v>通常フロー外でも安全・監査・復旧可能性を維持するため</x:v>
      </x:c>
      <x:c r="G246" s="49" t="str">
        <x:v>数値＋単位</x:v>
      </x:c>
      <x:c r="H246" s="49" t="str">
        <x:v>2FA、Box権限、BYOD例外、AI自己監査方針、困りごとログ</x:v>
      </x:c>
      <x:c r="I246" s="49" t="str">
        <x:v>インシデント、アクセスログ、AI利用ルール、スタッフ聴取</x:v>
      </x:c>
      <x:c r="J246" s="49" t="str">
        <x:v>浅井先生＋中森＋外部SE</x:v>
      </x:c>
      <x:c r="K246" s="49" t="str">
        <x:v>P2</x:v>
      </x:c>
      <x:c r="L246" s="49" t="str">
        <x:v>聴取必須</x:v>
      </x:c>
      <x:c r="M246" s="49" t="str">
        <x:v>未回答</x:v>
      </x:c>
      <x:c r="N246" s="49" t="str"/>
      <x:c r="O246" s="49" t="str"/>
      <x:c r="P246" s="49" t="str"/>
    </x:row>
    <x:row r="247">
      <x:c r="A247" s="49" t="str">
        <x:v>Q-243</x:v>
      </x:c>
      <x:c r="B247" s="49" t="str">
        <x:v>12_例外・品質・セキュリティ</x:v>
      </x:c>
      <x:c r="C247" s="49" t="str">
        <x:v>横断</x:v>
      </x:c>
      <x:c r="D247" s="49" t="str">
        <x:v>実態/証跡</x:v>
      </x:c>
      <x:c r="E247" s="49" t="str">
        <x:v>重大な誤送信、期限、請求、コンフリ、情報漏えいを共通incident schemaで記録しますか。</x:v>
      </x:c>
      <x:c r="F247" s="49" t="str">
        <x:v>通常フロー外でも安全・監査・復旧可能性を維持するため</x:v>
      </x:c>
      <x:c r="G247" s="49" t="str">
        <x:v>Yes/No＋条件・例外</x:v>
      </x:c>
      <x:c r="H247" s="49" t="str">
        <x:v>2FA、Box権限、BYOD例外、AI自己監査方針、困りごとログ</x:v>
      </x:c>
      <x:c r="I247" s="49" t="str">
        <x:v>インシデント、アクセスログ、AI利用ルール、スタッフ聴取</x:v>
      </x:c>
      <x:c r="J247" s="49" t="str">
        <x:v>浅井先生＋中森＋外部SE</x:v>
      </x:c>
      <x:c r="K247" s="49" t="str">
        <x:v>P0</x:v>
      </x:c>
      <x:c r="L247" s="49" t="str">
        <x:v>一部可</x:v>
      </x:c>
      <x:c r="M247" s="49" t="str">
        <x:v>未回答</x:v>
      </x:c>
      <x:c r="N247" s="49" t="str"/>
      <x:c r="O247" s="49" t="str"/>
      <x:c r="P247" s="49" t="str"/>
    </x:row>
    <x:row r="248">
      <x:c r="A248" s="49" t="str">
        <x:v>Q-244</x:v>
      </x:c>
      <x:c r="B248" s="49" t="str">
        <x:v>12_例外・品質・セキュリティ</x:v>
      </x:c>
      <x:c r="C248" s="49" t="str">
        <x:v>横断</x:v>
      </x:c>
      <x:c r="D248" s="49" t="str">
        <x:v>実態/証跡</x:v>
      </x:c>
      <x:c r="E248" s="49" t="str">
        <x:v>自動化が停止したときに人手へ戻すフォールバック手順はありますか。</x:v>
      </x:c>
      <x:c r="F248" s="49" t="str">
        <x:v>通常フロー外でも安全・監査・復旧可能性を維持するため</x:v>
      </x:c>
      <x:c r="G248" s="49" t="str">
        <x:v>Yes/No＋条件・例外</x:v>
      </x:c>
      <x:c r="H248" s="49" t="str">
        <x:v>2FA、Box権限、BYOD例外、AI自己監査方針、困りごとログ</x:v>
      </x:c>
      <x:c r="I248" s="49" t="str">
        <x:v>インシデント、アクセスログ、AI利用ルール、スタッフ聴取</x:v>
      </x:c>
      <x:c r="J248" s="49" t="str">
        <x:v>浅井先生＋中森＋外部SE</x:v>
      </x:c>
      <x:c r="K248" s="49" t="str">
        <x:v>P2</x:v>
      </x:c>
      <x:c r="L248" s="49" t="str">
        <x:v>一部可</x:v>
      </x:c>
      <x:c r="M248" s="49" t="str">
        <x:v>未回答</x:v>
      </x:c>
      <x:c r="N248" s="49" t="str"/>
      <x:c r="O248" s="49" t="str"/>
      <x:c r="P248" s="49" t="str"/>
    </x:row>
    <x:row r="249">
      <x:c r="A249" s="49" t="str">
        <x:v>Q-245</x:v>
      </x:c>
      <x:c r="B249" s="49" t="str">
        <x:v>12_例外・品質・セキュリティ</x:v>
      </x:c>
      <x:c r="C249" s="49" t="str">
        <x:v>横断</x:v>
      </x:c>
      <x:c r="D249" s="49" t="str">
        <x:v>実態/証跡</x:v>
      </x:c>
      <x:c r="E249" s="49" t="str">
        <x:v>外部ベンダー障害・API制限・リンク切れ時の業務継続手順は何ですか。</x:v>
      </x:c>
      <x:c r="F249" s="49" t="str">
        <x:v>通常フロー外でも安全・監査・復旧可能性を維持するため</x:v>
      </x:c>
      <x:c r="G249" s="49" t="str">
        <x:v>Yes/No＋条件・例外</x:v>
      </x:c>
      <x:c r="H249" s="49" t="str">
        <x:v>2FA、Box権限、BYOD例外、AI自己監査方針、困りごとログ</x:v>
      </x:c>
      <x:c r="I249" s="49" t="str">
        <x:v>インシデント、アクセスログ、AI利用ルール、スタッフ聴取</x:v>
      </x:c>
      <x:c r="J249" s="49" t="str">
        <x:v>浅井先生＋中森＋外部SE</x:v>
      </x:c>
      <x:c r="K249" s="49" t="str">
        <x:v>P2</x:v>
      </x:c>
      <x:c r="L249" s="49" t="str">
        <x:v>一部可</x:v>
      </x:c>
      <x:c r="M249" s="49" t="str">
        <x:v>未回答</x:v>
      </x:c>
      <x:c r="N249" s="49" t="str"/>
      <x:c r="O249" s="49" t="str"/>
      <x:c r="P249" s="49" t="str"/>
    </x:row>
  </x:sheetData>
  <x:mergeCells>
    <x:mergeCell ref="A1:P1"/>
    <x:mergeCell ref="A2:P2"/>
  </x:mergeCells>
  <x:conditionalFormatting sqref="K5:K249">
    <x:cfRule type="expression" dxfId="0" priority="1">
      <x:formula>K5="P0"</x:formula>
    </x:cfRule>
    <x:cfRule type="expression" dxfId="1" priority="2">
      <x:formula>K5="P1"</x:formula>
    </x:cfRule>
  </x:conditionalFormatting>
  <x:conditionalFormatting sqref="M5:M249">
    <x:cfRule type="expression" dxfId="2" priority="3">
      <x:formula>M5="回答済"</x:formula>
    </x:cfRule>
    <x:cfRule type="expression" dxfId="3" priority="4">
      <x:formula>M5="未回答"</x:formula>
    </x:cfRule>
    <x:cfRule type="expression" dxfId="4" priority="5">
      <x:formula>M5="調査中"</x:formula>
    </x:cfRule>
  </x:conditionalFormatting>
  <x:dataValidations count="3">
    <x:dataValidation type="list" sqref="K5:K249">
      <x:formula1>"P0,P1,P2"</x:formula1>
    </x:dataValidation>
    <x:dataValidation type="list" sqref="L5:L249">
      <x:formula1>"実査可,一部可,聴取必須"</x:formula1>
    </x:dataValidation>
    <x:dataValidation type="list" sqref="M5:M249">
      <x:formula1>"未回答,調査中,回答済,保留,対象外"</x:formula1>
    </x:dataValidation>
  </x:dataValidations>
  <x:pageMargins left="0.7" right="0.7" top="0.75" bottom="0.75" header="0.3" footer="0.3"/>
  <x:tableParts count="1">
    <x:tablePart xmlns:r="http://schemas.openxmlformats.org/officeDocument/2006/relationships" r:id="Ra39a88f009ca44ec"/>
  </x:tableParts>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34" hidden="0" customWidth="1"/>
    <x:col min="4" max="4" width="22" hidden="0" customWidth="1"/>
    <x:col min="5" max="5" width="54" hidden="0" customWidth="1"/>
    <x:col min="6" max="6" width="18" hidden="0" customWidth="1"/>
    <x:col min="7" max="7" width="28" hidden="0" customWidth="1"/>
    <x:col min="8" max="8" width="18" hidden="0" customWidth="1"/>
    <x:col min="9" max="9" width="16" hidden="0" customWidth="1"/>
    <x:col min="10" max="10" width="18" hidden="0" customWidth="1"/>
    <x:col min="11" max="11" width="10" hidden="0" customWidth="1"/>
    <x:col min="12" max="12" width="18" hidden="0" customWidth="1"/>
    <x:col min="13" max="13" width="14" hidden="0" customWidth="1"/>
    <x:col min="14" max="14" width="34" hidden="0" customWidth="1"/>
  </x:cols>
  <x:sheetData>
    <x:row r="1" ht="30" customHeight="1">
      <x:c r="A1" s="5" t="str">
        <x:v>データ取得・実査台帳</x:v>
      </x:c>
      <x:c r="B1" s="5"/>
      <x:c r="C1" s="5"/>
      <x:c r="D1" s="5"/>
      <x:c r="E1" s="5"/>
      <x:c r="F1" s="5"/>
      <x:c r="G1" s="5"/>
      <x:c r="H1" s="5"/>
      <x:c r="I1" s="5"/>
      <x:c r="J1" s="5"/>
      <x:c r="K1" s="5"/>
      <x:c r="L1" s="5"/>
      <x:c r="M1" s="5"/>
      <x:c r="N1" s="5"/>
    </x:row>
    <x:row r="2" ht="32" customHeight="1">
      <x:c r="A2" s="13" t="str">
        <x:v>取得前に、目的、範囲、主キー、案件への結合、正本/観測/派生の役割、機密度を確定する。全量取得はmanifest・metadataから始め、本文は層化サンプルで検証する。</x:v>
      </x:c>
      <x:c r="B2" s="13"/>
      <x:c r="C2" s="13"/>
      <x:c r="D2" s="13"/>
      <x:c r="E2" s="13"/>
      <x:c r="F2" s="13"/>
      <x:c r="G2" s="13"/>
      <x:c r="H2" s="13"/>
      <x:c r="I2" s="13"/>
      <x:c r="J2" s="13"/>
      <x:c r="K2" s="13"/>
      <x:c r="L2" s="13"/>
      <x:c r="M2" s="13"/>
      <x:c r="N2" s="13"/>
    </x:row>
    <x:row r="4" ht="30" customHeight="1">
      <x:c r="A4" s="42" t="str">
        <x:v>Source ID</x:v>
      </x:c>
      <x:c r="B4" s="42" t="str">
        <x:v>システム</x:v>
      </x:c>
      <x:c r="C4" s="42" t="str">
        <x:v>対象オブジェクト/場所</x:v>
      </x:c>
      <x:c r="D4" s="42" t="str">
        <x:v>取得範囲</x:v>
      </x:c>
      <x:c r="E4" s="42" t="str">
        <x:v>取得フィールド</x:v>
      </x:c>
      <x:c r="F4" s="42" t="str">
        <x:v>主キー</x:v>
      </x:c>
      <x:c r="G4" s="42" t="str">
        <x:v>結合先/結合キー</x:v>
      </x:c>
      <x:c r="H4" s="42" t="str">
        <x:v>取得方法</x:v>
      </x:c>
      <x:c r="I4" s="42" t="str">
        <x:v>更新頻度</x:v>
      </x:c>
      <x:c r="J4" s="42" t="str">
        <x:v>責任者</x:v>
      </x:c>
      <x:c r="K4" s="42" t="str">
        <x:v>機密度</x:v>
      </x:c>
      <x:c r="L4" s="42" t="str">
        <x:v>想定役割</x:v>
      </x:c>
      <x:c r="M4" s="42" t="str">
        <x:v>現状</x:v>
      </x:c>
      <x:c r="N4" s="42" t="str">
        <x:v>備考</x:v>
      </x:c>
    </x:row>
    <x:row r="5">
      <x:c r="A5" s="49" t="str">
        <x:v>DS-001</x:v>
      </x:c>
      <x:c r="B5" s="49" t="str">
        <x:v>Salesforce</x:v>
      </x:c>
      <x:c r="C5" s="49" t="str">
        <x:v>leala__Consultation__c（相談）</x:v>
      </x:c>
      <x:c r="D5" s="49" t="str">
        <x:v>全期間＋直近24か月詳細</x:v>
      </x:c>
      <x:c r="E5" s="49" t="str">
        <x:v>Id, CreatedDate, ReceptionDate, ConsultedDate, StageName, Source, SourceMiddle, Partner, CaseOutline, Category, Lawyer, Clerk, Probability, ExpectedCloseDate, Converted flags, CloseDate, loss reasons, Box URL, fee fields</x:v>
      </x:c>
      <x:c r="F5" s="49" t="str">
        <x:v>Consultation.Id</x:v>
      </x:c>
      <x:c r="G5" s="49" t="str">
        <x:v>Event/Email/Task/Box URL/Converted Matter</x:v>
      </x:c>
      <x:c r="H5" s="49" t="str">
        <x:v>API/SOQL export</x:v>
      </x:c>
      <x:c r="I5" s="49" t="str">
        <x:v>日次差分＋初回全量</x:v>
      </x:c>
      <x:c r="J5" s="49" t="str">
        <x:v>事務局/外部SE</x:v>
      </x:c>
      <x:c r="K5" s="49" t="str">
        <x:v>高</x:v>
      </x:c>
      <x:c r="L5" s="49" t="str">
        <x:v>正本候補</x:v>
      </x:c>
      <x:c r="M5" s="49" t="str">
        <x:v>取得可</x:v>
      </x:c>
      <x:c r="N5" s="49" t="str">
        <x:v>相談→受任の主対象</x:v>
      </x:c>
    </x:row>
    <x:row r="6">
      <x:c r="A6" s="49" t="str">
        <x:v>DS-002</x:v>
      </x:c>
      <x:c r="B6" s="49" t="str">
        <x:v>Salesforce</x:v>
      </x:c>
      <x:c r="C6" s="49" t="str">
        <x:v>leala__Matter__c / leala__Business__c（受任案件）</x:v>
      </x:c>
      <x:c r="D6" s="49" t="str">
        <x:v>全期間</x:v>
      </x:c>
      <x:c r="E6" s="49" t="str">
        <x:v>Id, source consultation, status,担当,次行動,待ち先,期限,開設/終結日, Box URL, category, scope</x:v>
      </x:c>
      <x:c r="F6" s="49" t="str">
        <x:v>Matter.Id</x:v>
      </x:c>
      <x:c r="G6" s="49" t="str">
        <x:v>Consultation/Task/Event/Finance/Box</x:v>
      </x:c>
      <x:c r="H6" s="49" t="str">
        <x:v>API/SOQL export</x:v>
      </x:c>
      <x:c r="I6" s="49" t="str">
        <x:v>日次差分＋初回全量</x:v>
      </x:c>
      <x:c r="J6" s="49" t="str">
        <x:v>事務局/外部SE</x:v>
      </x:c>
      <x:c r="K6" s="49" t="str">
        <x:v>高</x:v>
      </x:c>
      <x:c r="L6" s="49" t="str">
        <x:v>案件制御正本</x:v>
      </x:c>
      <x:c r="M6" s="49" t="str">
        <x:v>取得可</x:v>
      </x:c>
      <x:c r="N6" s="49" t="str">
        <x:v>実オブジェクト名の最終確認要</x:v>
      </x:c>
    </x:row>
    <x:row r="7">
      <x:c r="A7" s="49" t="str">
        <x:v>DS-003</x:v>
      </x:c>
      <x:c r="B7" s="49" t="str">
        <x:v>Salesforce</x:v>
      </x:c>
      <x:c r="C7" s="49" t="str">
        <x:v>Task / Event / Chatter / Office Meeting</x:v>
      </x:c>
      <x:c r="D7" s="49" t="str">
        <x:v>直近24か月→全期間</x:v>
      </x:c>
      <x:c r="E7" s="49" t="str">
        <x:v>native Id, WhatId, WhoId, subject/body, timestamps, owner, status, due, attendees, source</x:v>
      </x:c>
      <x:c r="F7" s="49" t="str">
        <x:v>WhatId</x:v>
      </x:c>
      <x:c r="G7" s="49" t="str">
        <x:v>Matter/Consultation/Party</x:v>
      </x:c>
      <x:c r="H7" s="49" t="str">
        <x:v>API/SOQL export</x:v>
      </x:c>
      <x:c r="I7" s="49" t="str">
        <x:v>日次</x:v>
      </x:c>
      <x:c r="J7" s="49" t="str">
        <x:v>外部SE</x:v>
      </x:c>
      <x:c r="K7" s="49" t="str">
        <x:v>高</x:v>
      </x:c>
      <x:c r="L7" s="49" t="str">
        <x:v>観測/作業</x:v>
      </x:c>
      <x:c r="M7" s="49" t="str">
        <x:v>取得可</x:v>
      </x:c>
      <x:c r="N7" s="49" t="str">
        <x:v>Task完了の意味を要聴取</x:v>
      </x:c>
    </x:row>
    <x:row r="8">
      <x:c r="A8" s="49" t="str">
        <x:v>DS-004</x:v>
      </x:c>
      <x:c r="B8" s="49" t="str">
        <x:v>Salesforce</x:v>
      </x:c>
      <x:c r="C8" s="49" t="str">
        <x:v>ALO_DerivedEvent__c</x:v>
      </x:c>
      <x:c r="D8" s="49" t="str">
        <x:v>実装開始以降</x:v>
      </x:c>
      <x:c r="E8" s="49" t="str">
        <x:v>event type, source type/id, occurred_at, matter links, confidence, review status, summary</x:v>
      </x:c>
      <x:c r="F8" s="49" t="str">
        <x:v>DerivedEvent.Id</x:v>
      </x:c>
      <x:c r="G8" s="49" t="str">
        <x:v>全イベントソース</x:v>
      </x:c>
      <x:c r="H8" s="49" t="str">
        <x:v>API/SOQL export</x:v>
      </x:c>
      <x:c r="I8" s="49" t="str">
        <x:v>随時</x:v>
      </x:c>
      <x:c r="J8" s="49" t="str">
        <x:v>外部SE</x:v>
      </x:c>
      <x:c r="K8" s="49" t="str">
        <x:v>高</x:v>
      </x:c>
      <x:c r="L8" s="49" t="str">
        <x:v>派生イベント</x:v>
      </x:c>
      <x:c r="M8" s="49" t="str">
        <x:v>設計中/一部実装</x:v>
      </x:c>
      <x:c r="N8" s="49" t="str">
        <x:v>本調査のイベントスパイン</x:v>
      </x:c>
    </x:row>
    <x:row r="9">
      <x:c r="A9" s="49" t="str">
        <x:v>DS-005</x:v>
      </x:c>
      <x:c r="B9" s="49" t="str">
        <x:v>Salesforce</x:v>
      </x:c>
      <x:c r="C9" s="49" t="str">
        <x:v>RelatedContact / OpponentParty / Account / Contact</x:v>
      </x:c>
      <x:c r="D9" s="49" t="str">
        <x:v>全期間</x:v>
      </x:c>
      <x:c r="E9" s="49" t="str">
        <x:v>party Id, names/aliases, roles, related matter, contact data, relationship</x:v>
      </x:c>
      <x:c r="F9" s="49" t="str">
        <x:v>Party Id</x:v>
      </x:c>
      <x:c r="G9" s="49" t="str">
        <x:v>Consultation/Matter/Conflict</x:v>
      </x:c>
      <x:c r="H9" s="49" t="str">
        <x:v>API/SOQL export</x:v>
      </x:c>
      <x:c r="I9" s="49" t="str">
        <x:v>日次差分</x:v>
      </x:c>
      <x:c r="J9" s="49" t="str">
        <x:v>事務局/外部SE</x:v>
      </x:c>
      <x:c r="K9" s="49" t="str">
        <x:v>最高</x:v>
      </x:c>
      <x:c r="L9" s="49" t="str">
        <x:v>当事者正本候補</x:v>
      </x:c>
      <x:c r="M9" s="49" t="str">
        <x:v>取得可</x:v>
      </x:c>
      <x:c r="N9" s="49" t="str">
        <x:v>コンフリ用の別名・法人番号確認</x:v>
      </x:c>
    </x:row>
    <x:row r="10">
      <x:c r="A10" s="49" t="str">
        <x:v>DS-006</x:v>
      </x:c>
      <x:c r="B10" s="49" t="str">
        <x:v>Salesforce</x:v>
      </x:c>
      <x:c r="C10" s="49" t="str">
        <x:v>Deadline / JurisdictionCourt / Procedure</x:v>
      </x:c>
      <x:c r="D10" s="49" t="str">
        <x:v>全期間</x:v>
      </x:c>
      <x:c r="E10" s="49" t="str">
        <x:v>deadline type/source, due_at, base date, status, court, case no., procedure stage</x:v>
      </x:c>
      <x:c r="F10" s="49" t="str">
        <x:v>record Id / court_case_key</x:v>
      </x:c>
      <x:c r="G10" s="49" t="str">
        <x:v>Matter/Event</x:v>
      </x:c>
      <x:c r="H10" s="49" t="str">
        <x:v>API/SOQL export</x:v>
      </x:c>
      <x:c r="I10" s="49" t="str">
        <x:v>日次</x:v>
      </x:c>
      <x:c r="J10" s="49" t="str">
        <x:v>事務局</x:v>
      </x:c>
      <x:c r="K10" s="49" t="str">
        <x:v>最高</x:v>
      </x:c>
      <x:c r="L10" s="49" t="str">
        <x:v>期限/手続正本候補</x:v>
      </x:c>
      <x:c r="M10" s="49" t="str">
        <x:v>取得可</x:v>
      </x:c>
      <x:c r="N10" s="49" t="str">
        <x:v>Calendarとの差分監査</x:v>
      </x:c>
    </x:row>
    <x:row r="11">
      <x:c r="A11" s="49" t="str">
        <x:v>DS-007</x:v>
      </x:c>
      <x:c r="B11" s="49" t="str">
        <x:v>Salesforce</x:v>
      </x:c>
      <x:c r="C11" s="49" t="str">
        <x:v>Accounting / Billing / Invoice / Expense / TimeCharge / Deposit</x:v>
      </x:c>
      <x:c r="D11" s="49" t="str">
        <x:v>全期間</x:v>
      </x:c>
      <x:c r="E11" s="49" t="str">
        <x:v>amount, fee type, payer, invoice no., issue/due/paid dates, trust/expense movements, matter links</x:v>
      </x:c>
      <x:c r="F11" s="49" t="str">
        <x:v>record Id / invoice no.</x:v>
      </x:c>
      <x:c r="G11" s="49" t="str">
        <x:v>Matter/Payer/MF</x:v>
      </x:c>
      <x:c r="H11" s="49" t="str">
        <x:v>API/SOQL export</x:v>
      </x:c>
      <x:c r="I11" s="49" t="str">
        <x:v>日次又は月次</x:v>
      </x:c>
      <x:c r="J11" s="49" t="str">
        <x:v>中森事務局長</x:v>
      </x:c>
      <x:c r="K11" s="49" t="str">
        <x:v>最高</x:v>
      </x:c>
      <x:c r="L11" s="49" t="str">
        <x:v>案件会計台帳</x:v>
      </x:c>
      <x:c r="M11" s="49" t="str">
        <x:v>取得可</x:v>
      </x:c>
      <x:c r="N11" s="49" t="str">
        <x:v>MFとの正本関係を決める</x:v>
      </x:c>
    </x:row>
    <x:row r="12">
      <x:c r="A12" s="49" t="str">
        <x:v>DS-008</x:v>
      </x:c>
      <x:c r="B12" s="49" t="str">
        <x:v>Salesforce</x:v>
      </x:c>
      <x:c r="C12" s="49" t="str">
        <x:v>PostalMatter / RequiredDocument / KeepingItem / CaseDocument</x:v>
      </x:c>
      <x:c r="D12" s="49" t="str">
        <x:v>全期間</x:v>
      </x:c>
      <x:c r="E12" s="49" t="str">
        <x:v>mail direction, dates, tracking, doc checklist, received/returned, document refs</x:v>
      </x:c>
      <x:c r="F12" s="49" t="str">
        <x:v>record Id</x:v>
      </x:c>
      <x:c r="G12" s="49" t="str">
        <x:v>Matter/Box</x:v>
      </x:c>
      <x:c r="H12" s="49" t="str">
        <x:v>API/SOQL export</x:v>
      </x:c>
      <x:c r="I12" s="49" t="str">
        <x:v>日次</x:v>
      </x:c>
      <x:c r="J12" s="49" t="str">
        <x:v>事務局</x:v>
      </x:c>
      <x:c r="K12" s="49" t="str">
        <x:v>高</x:v>
      </x:c>
      <x:c r="L12" s="49" t="str">
        <x:v>郵便/資料/預かり物</x:v>
      </x:c>
      <x:c r="M12" s="49" t="str">
        <x:v>取得可</x:v>
      </x:c>
      <x:c r="N12" s="49" t="str">
        <x:v>終了ゲートに有用</x:v>
      </x:c>
    </x:row>
    <x:row r="13">
      <x:c r="A13" s="49" t="str">
        <x:v>DS-009</x:v>
      </x:c>
      <x:c r="B13" s="49" t="str">
        <x:v>Box</x:v>
      </x:c>
      <x:c r="C13" s="49" t="str">
        <x:v>★LEALA 配下の相談・受任・既済フォルダ</x:v>
      </x:c>
      <x:c r="D13" s="49" t="str">
        <x:v>全フォルダmanifest＋層化サンプル</x:v>
      </x:c>
      <x:c r="E13" s="49" t="str">
        <x:v>folder/file id, parent, name, version, created/modified, uploader, size, extension, metadata, shared links</x:v>
      </x:c>
      <x:c r="F13" s="49" t="str">
        <x:v>Box file/folder ID</x:v>
      </x:c>
      <x:c r="G13" s="49" t="str">
        <x:v>Salesforce Box URL/metadata matter_id</x:v>
      </x:c>
      <x:c r="H13" s="49" t="str">
        <x:v>Box API manifest</x:v>
      </x:c>
      <x:c r="I13" s="49" t="str">
        <x:v>初回全量＋日次差分</x:v>
      </x:c>
      <x:c r="J13" s="49" t="str">
        <x:v>外部SE</x:v>
      </x:c>
      <x:c r="K13" s="49" t="str">
        <x:v>最高</x:v>
      </x:c>
      <x:c r="L13" s="49" t="str">
        <x:v>文書正本</x:v>
      </x:c>
      <x:c r="M13" s="49" t="str">
        <x:v>取得可</x:v>
      </x:c>
      <x:c r="N13" s="49" t="str">
        <x:v>内容取得は層化・権限制御</x:v>
      </x:c>
    </x:row>
    <x:row r="14">
      <x:c r="A14" s="49" t="str">
        <x:v>DS-010</x:v>
      </x:c>
      <x:c r="B14" s="49" t="str">
        <x:v>Box</x:v>
      </x:c>
      <x:c r="C14" s="49" t="str">
        <x:v>マニュアル・書式・ひな形・終了報告</x:v>
      </x:c>
      <x:c r="D14" s="49" t="str">
        <x:v>全量manifest＋代表実物</x:v>
      </x:c>
      <x:c r="E14" s="49" t="str">
        <x:v>document type, title, version, owner, usage, template status</x:v>
      </x:c>
      <x:c r="F14" s="49" t="str">
        <x:v>Box file ID</x:v>
      </x:c>
      <x:c r="G14" s="49" t="str">
        <x:v>workflow/document taxonomy</x:v>
      </x:c>
      <x:c r="H14" s="49" t="str">
        <x:v>Box API＋AI抽出</x:v>
      </x:c>
      <x:c r="I14" s="49" t="str">
        <x:v>月次</x:v>
      </x:c>
      <x:c r="J14" s="49" t="str">
        <x:v>事務局</x:v>
      </x:c>
      <x:c r="K14" s="49" t="str">
        <x:v>中</x:v>
      </x:c>
      <x:c r="L14" s="49" t="str">
        <x:v>手順/出力物証拠</x:v>
      </x:c>
      <x:c r="M14" s="49" t="str">
        <x:v>取得可</x:v>
      </x:c>
      <x:c r="N14" s="49" t="str">
        <x:v>現行・旧版を区別</x:v>
      </x:c>
    </x:row>
    <x:row r="15">
      <x:c r="A15" s="49" t="str">
        <x:v>DS-011</x:v>
      </x:c>
      <x:c r="B15" s="49" t="str">
        <x:v>Gmail</x:v>
      </x:c>
      <x:c r="C15" s="49" t="str">
        <x:v>全所員メール（外部/内部）</x:v>
      </x:c>
      <x:c r="D15" s="49" t="str">
        <x:v>直近6か月PoC→全期間</x:v>
      </x:c>
      <x:c r="E15" s="49" t="str">
        <x:v>message/thread id, headers, timestamps, participants, subject, body hash/text, attachments, labels</x:v>
      </x:c>
      <x:c r="F15" s="49" t="str">
        <x:v>message_id/thread_id</x:v>
      </x:c>
      <x:c r="G15" s="49" t="str">
        <x:v>party email + SF matter candidate + Box file</x:v>
      </x:c>
      <x:c r="H15" s="49" t="str">
        <x:v>Gmail API</x:v>
      </x:c>
      <x:c r="I15" s="49" t="str">
        <x:v>継続</x:v>
      </x:c>
      <x:c r="J15" s="49" t="str">
        <x:v>各アカウント/外部SE</x:v>
      </x:c>
      <x:c r="K15" s="49" t="str">
        <x:v>最高</x:v>
      </x:c>
      <x:c r="L15" s="49" t="str">
        <x:v>観測raw</x:v>
      </x:c>
      <x:c r="M15" s="49" t="str">
        <x:v>取得可</x:v>
      </x:c>
      <x:c r="N15" s="49" t="str">
        <x:v>話題転換・複数案件分割</x:v>
      </x:c>
    </x:row>
    <x:row r="16">
      <x:c r="A16" s="49" t="str">
        <x:v>DS-012</x:v>
      </x:c>
      <x:c r="B16" s="49" t="str">
        <x:v>Dialpad</x:v>
      </x:c>
      <x:c r="C16" s="49" t="str">
        <x:v>通話・SMS・録音・transcript</x:v>
      </x:c>
      <x:c r="D16" s="49" t="str">
        <x:v>直近6か月PoC→全期間</x:v>
      </x:c>
      <x:c r="E16" s="49" t="str">
        <x:v>call id, direction, numbers, started/ended, duration, participants, recording/transcript links</x:v>
      </x:c>
      <x:c r="F16" s="49" t="str">
        <x:v>call_id</x:v>
      </x:c>
      <x:c r="G16" s="49" t="str">
        <x:v>phone→Party/Matter</x:v>
      </x:c>
      <x:c r="H16" s="49" t="str">
        <x:v>API/webhook</x:v>
      </x:c>
      <x:c r="I16" s="49" t="str">
        <x:v>リアルタイム＋遡及</x:v>
      </x:c>
      <x:c r="J16" s="49" t="str">
        <x:v>外部SE</x:v>
      </x:c>
      <x:c r="K16" s="49" t="str">
        <x:v>最高</x:v>
      </x:c>
      <x:c r="L16" s="49" t="str">
        <x:v>観測raw</x:v>
      </x:c>
      <x:c r="M16" s="49" t="str">
        <x:v>取得可/要範囲確認</x:v>
      </x:c>
      <x:c r="N16" s="49" t="str">
        <x:v>Nottaとの正本・派生を決める</x:v>
      </x:c>
    </x:row>
    <x:row r="17">
      <x:c r="A17" s="49" t="str">
        <x:v>DS-013</x:v>
      </x:c>
      <x:c r="B17" s="49" t="str">
        <x:v>Notta</x:v>
      </x:c>
      <x:c r="C17" s="49" t="str">
        <x:v>会議/通話再文字起こし</x:v>
      </x:c>
      <x:c r="D17" s="49" t="str">
        <x:v>直近12か月→全期間</x:v>
      </x:c>
      <x:c r="E17" s="49" t="str">
        <x:v>note id, title, participants, start/end, transcript, summary, actions, source links</x:v>
      </x:c>
      <x:c r="F17" s="49" t="str">
        <x:v>Notta id</x:v>
      </x:c>
      <x:c r="G17" s="49" t="str">
        <x:v>Calendar/Dialpad/Matter</x:v>
      </x:c>
      <x:c r="H17" s="49" t="str">
        <x:v>API/export/Drive</x:v>
      </x:c>
      <x:c r="I17" s="49" t="str">
        <x:v>会議後</x:v>
      </x:c>
      <x:c r="J17" s="49" t="str">
        <x:v>各弁護士</x:v>
      </x:c>
      <x:c r="K17" s="49" t="str">
        <x:v>最高</x:v>
      </x:c>
      <x:c r="L17" s="49" t="str">
        <x:v>文字起こし/派生</x:v>
      </x:c>
      <x:c r="M17" s="49" t="str">
        <x:v>取得経路要確認</x:v>
      </x:c>
      <x:c r="N17" s="49" t="str">
        <x:v>リンク切れ対策</x:v>
      </x:c>
    </x:row>
    <x:row r="18">
      <x:c r="A18" s="49" t="str">
        <x:v>DS-014</x:v>
      </x:c>
      <x:c r="B18" s="49" t="str">
        <x:v>Google Calendar / Meet</x:v>
      </x:c>
      <x:c r="C18" s="49" t="str">
        <x:v>全所員カレンダー</x:v>
      </x:c>
      <x:c r="D18" s="49" t="str">
        <x:v>直近24か月→全期間</x:v>
      </x:c>
      <x:c r="E18" s="49" t="str">
        <x:v>event id, start/end, organizer, attendees, title, description, location, Meet link, attachments</x:v>
      </x:c>
      <x:c r="F18" s="49" t="str">
        <x:v>event_id</x:v>
      </x:c>
      <x:c r="G18" s="49" t="str">
        <x:v>Email/Notta/SF Event/Matter</x:v>
      </x:c>
      <x:c r="H18" s="49" t="str">
        <x:v>Calendar API</x:v>
      </x:c>
      <x:c r="I18" s="49" t="str">
        <x:v>日次</x:v>
      </x:c>
      <x:c r="J18" s="49" t="str">
        <x:v>外部SE</x:v>
      </x:c>
      <x:c r="K18" s="49" t="str">
        <x:v>高</x:v>
      </x:c>
      <x:c r="L18" s="49" t="str">
        <x:v>時間/会議証拠</x:v>
      </x:c>
      <x:c r="M18" s="49" t="str">
        <x:v>取得可</x:v>
      </x:c>
      <x:c r="N18" s="49" t="str">
        <x:v>タイトルだけで確定しない</x:v>
      </x:c>
    </x:row>
    <x:row r="19">
      <x:c r="A19" s="49" t="str">
        <x:v>DS-015</x:v>
      </x:c>
      <x:c r="B19" s="49" t="str">
        <x:v>Money Forward</x:v>
      </x:c>
      <x:c r="C19" s="49" t="str">
        <x:v>MF請求書</x:v>
      </x:c>
      <x:c r="D19" s="49" t="str">
        <x:v>全期間</x:v>
      </x:c>
      <x:c r="E19" s="49" t="str">
        <x:v>invoice id/no., issue/due/sent, recipient/payer, line items, tax, status, payment link</x:v>
      </x:c>
      <x:c r="F19" s="49" t="str">
        <x:v>invoice id/no.</x:v>
      </x:c>
      <x:c r="G19" s="49" t="str">
        <x:v>SF Billing/Matter/Payer</x:v>
      </x:c>
      <x:c r="H19" s="49" t="str">
        <x:v>CSV/API</x:v>
      </x:c>
      <x:c r="I19" s="49" t="str">
        <x:v>日次又は月次</x:v>
      </x:c>
      <x:c r="J19" s="49" t="str">
        <x:v>中森事務局長</x:v>
      </x:c>
      <x:c r="K19" s="49" t="str">
        <x:v>最高</x:v>
      </x:c>
      <x:c r="L19" s="49" t="str">
        <x:v>請求正本候補</x:v>
      </x:c>
      <x:c r="M19" s="49" t="str">
        <x:v>要接続確認</x:v>
      </x:c>
      <x:c r="N19" s="49" t="str">
        <x:v>浅井LO/武市ALT等の主体分離</x:v>
      </x:c>
    </x:row>
    <x:row r="20">
      <x:c r="A20" s="49" t="str">
        <x:v>DS-016</x:v>
      </x:c>
      <x:c r="B20" s="49" t="str">
        <x:v>Money Forward</x:v>
      </x:c>
      <x:c r="C20" s="49" t="str">
        <x:v>MF会計/銀行明細</x:v>
      </x:c>
      <x:c r="D20" s="49" t="str">
        <x:v>全期間</x:v>
      </x:c>
      <x:c r="E20" s="49" t="str">
        <x:v>journal/transaction id, amount, date, account, counterparty, memo, reconciliation</x:v>
      </x:c>
      <x:c r="F20" s="49" t="str">
        <x:v>transaction id</x:v>
      </x:c>
      <x:c r="G20" s="49" t="str">
        <x:v>Invoice/Matter/Payer</x:v>
      </x:c>
      <x:c r="H20" s="49" t="str">
        <x:v>CSV/API</x:v>
      </x:c>
      <x:c r="I20" s="49" t="str">
        <x:v>日次又は月次</x:v>
      </x:c>
      <x:c r="J20" s="49" t="str">
        <x:v>中森事務局長</x:v>
      </x:c>
      <x:c r="K20" s="49" t="str">
        <x:v>最高</x:v>
      </x:c>
      <x:c r="L20" s="49" t="str">
        <x:v>入金/会計正本候補</x:v>
      </x:c>
      <x:c r="M20" s="49" t="str">
        <x:v>要接続確認</x:v>
      </x:c>
      <x:c r="N20" s="49" t="str">
        <x:v>案件IDの付与率確認</x:v>
      </x:c>
    </x:row>
    <x:row r="21">
      <x:c r="A21" s="49" t="str">
        <x:v>DS-017</x:v>
      </x:c>
      <x:c r="B21" s="49" t="str">
        <x:v>MINTS/Teams/FAX/郵便</x:v>
      </x:c>
      <x:c r="C21" s="49" t="str">
        <x:v>裁判所・対外提出証跡</x:v>
      </x:c>
      <x:c r="D21" s="49" t="str">
        <x:v>直近12か月層化</x:v>
      </x:c>
      <x:c r="E21" s="49" t="str">
        <x:v>submitted_at, recipient/court, document, receipt no., fax report, tracking no., delivery/acceptance</x:v>
      </x:c>
      <x:c r="F21" s="49" t="str">
        <x:v>external receipt/tracking</x:v>
      </x:c>
      <x:c r="G21" s="49" t="str">
        <x:v>Matter/Document/Deadline</x:v>
      </x:c>
      <x:c r="H21" s="49" t="str">
        <x:v>export/Box添付/手動台帳</x:v>
      </x:c>
      <x:c r="I21" s="49" t="str">
        <x:v>都度</x:v>
      </x:c>
      <x:c r="J21" s="49" t="str">
        <x:v>事務局</x:v>
      </x:c>
      <x:c r="K21" s="49" t="str">
        <x:v>最高</x:v>
      </x:c>
      <x:c r="L21" s="49" t="str">
        <x:v>提出・到達証跡</x:v>
      </x:c>
      <x:c r="M21" s="49" t="str">
        <x:v>分散</x:v>
      </x:c>
      <x:c r="N21" s="49" t="str">
        <x:v>共通eventへ正規化</x:v>
      </x:c>
    </x:row>
    <x:row r="22">
      <x:c r="A22" s="49" t="str">
        <x:v>DS-018</x:v>
      </x:c>
      <x:c r="B22" s="49" t="str">
        <x:v>NAS/複合機/ScanSnap</x:v>
      </x:c>
      <x:c r="C22" s="49" t="str">
        <x:v>スキャン投入ログ</x:v>
      </x:c>
      <x:c r="D22" s="49" t="str">
        <x:v>直近3か月</x:v>
      </x:c>
      <x:c r="E22" s="49" t="str">
        <x:v>file path/name, scan time, device/user, page count, OCR status, destination</x:v>
      </x:c>
      <x:c r="F22" s="49" t="str">
        <x:v>file hash/path</x:v>
      </x:c>
      <x:c r="G22" s="49" t="str">
        <x:v>Box file</x:v>
      </x:c>
      <x:c r="H22" s="49" t="str">
        <x:v>file log/manifest</x:v>
      </x:c>
      <x:c r="I22" s="49" t="str">
        <x:v>日次</x:v>
      </x:c>
      <x:c r="J22" s="49" t="str">
        <x:v>中森/外部SE</x:v>
      </x:c>
      <x:c r="K22" s="49" t="str">
        <x:v>高</x:v>
      </x:c>
      <x:c r="L22" s="49" t="str">
        <x:v>取込raw</x:v>
      </x:c>
      <x:c r="M22" s="49" t="str">
        <x:v>要調査</x:v>
      </x:c>
      <x:c r="N22" s="49" t="str">
        <x:v>Box到達前の欠落検知</x:v>
      </x:c>
    </x:row>
    <x:row r="23">
      <x:c r="A23" s="49" t="str">
        <x:v>DS-019</x:v>
      </x:c>
      <x:c r="B23" s="49" t="str">
        <x:v>Chatwork/Slack</x:v>
      </x:c>
      <x:c r="C23" s="49" t="str">
        <x:v>例外的外部・所内連絡</x:v>
      </x:c>
      <x:c r="D23" s="49" t="str">
        <x:v>直近12か月層化</x:v>
      </x:c>
      <x:c r="E23" s="49" t="str">
        <x:v>message id, room, sender, timestamp, body, attachments</x:v>
      </x:c>
      <x:c r="F23" s="49" t="str">
        <x:v>message id</x:v>
      </x:c>
      <x:c r="G23" s="49" t="str">
        <x:v>Party/Matter</x:v>
      </x:c>
      <x:c r="H23" s="49" t="str">
        <x:v>API/export</x:v>
      </x:c>
      <x:c r="I23" s="49" t="str">
        <x:v>日次又は手動</x:v>
      </x:c>
      <x:c r="J23" s="49" t="str">
        <x:v>各利用者</x:v>
      </x:c>
      <x:c r="K23" s="49" t="str">
        <x:v>高</x:v>
      </x:c>
      <x:c r="L23" s="49" t="str">
        <x:v>観測raw</x:v>
      </x:c>
      <x:c r="M23" s="49" t="str">
        <x:v>要接続確認</x:v>
      </x:c>
      <x:c r="N23" s="49" t="str">
        <x:v>本当に対象化する範囲を決める</x:v>
      </x:c>
    </x:row>
    <x:row r="24">
      <x:c r="A24" s="49" t="str">
        <x:v>DS-020</x:v>
      </x:c>
      <x:c r="B24" s="49" t="str">
        <x:v>Google Docs/Sheets</x:v>
      </x:c>
      <x:c r="C24" s="49" t="str">
        <x:v>困りごとログ・AI日報・週次全件おろし</x:v>
      </x:c>
      <x:c r="D24" s="49" t="str">
        <x:v>直近12か月</x:v>
      </x:c>
      <x:c r="E24" s="49" t="str">
        <x:v>log id, date, staff, matter refs, actions, issues, AI usage, decisions</x:v>
      </x:c>
      <x:c r="F24" s="49" t="str">
        <x:v>log id</x:v>
      </x:c>
      <x:c r="G24" s="49" t="str">
        <x:v>Matter/Staff/Process</x:v>
      </x:c>
      <x:c r="H24" s="49" t="str">
        <x:v>Drive API/export</x:v>
      </x:c>
      <x:c r="I24" s="49" t="str">
        <x:v>日次/週次</x:v>
      </x:c>
      <x:c r="J24" s="49" t="str">
        <x:v>全員</x:v>
      </x:c>
      <x:c r="K24" s="49" t="str">
        <x:v>高</x:v>
      </x:c>
      <x:c r="L24" s="49" t="str">
        <x:v>改善/作業観測</x:v>
      </x:c>
      <x:c r="M24" s="49" t="str">
        <x:v>取得可</x:v>
      </x:c>
      <x:c r="N24" s="49" t="str">
        <x:v>個別案件情報の範囲管理</x:v>
      </x:c>
    </x:row>
    <x:row r="25">
      <x:c r="A25" s="49" t="str">
        <x:v>DS-021</x:v>
      </x:c>
      <x:c r="B25" s="49" t="str">
        <x:v>HP/フォーム/アクセス解析</x:v>
      </x:c>
      <x:c r="C25" s="49" t="str">
        <x:v>問い合わせ前後の流入</x:v>
      </x:c>
      <x:c r="D25" s="49" t="str">
        <x:v>直近24か月</x:v>
      </x:c>
      <x:c r="E25" s="49" t="str">
        <x:v>form submission id, landing page, referrer, timestamp, consent, campaign</x:v>
      </x:c>
      <x:c r="F25" s="49" t="str">
        <x:v>submission id</x:v>
      </x:c>
      <x:c r="G25" s="49" t="str">
        <x:v>Consultation/Source</x:v>
      </x:c>
      <x:c r="H25" s="49" t="str">
        <x:v>form export/analytics</x:v>
      </x:c>
      <x:c r="I25" s="49" t="str">
        <x:v>日次</x:v>
      </x:c>
      <x:c r="J25" s="49" t="str">
        <x:v>HP管理者</x:v>
      </x:c>
      <x:c r="K25" s="49" t="str">
        <x:v>高</x:v>
      </x:c>
      <x:c r="L25" s="49" t="str">
        <x:v>流入raw</x:v>
      </x:c>
      <x:c r="M25" s="49" t="str">
        <x:v>要調査</x:v>
      </x:c>
      <x:c r="N25" s="49" t="str">
        <x:v>個人情報同意と保存範囲</x:v>
      </x:c>
    </x:row>
    <x:row r="26">
      <x:c r="A26" s="49" t="str">
        <x:v>DS-022</x:v>
      </x:c>
      <x:c r="B26" s="49" t="str">
        <x:v>Box Events/Admin logs</x:v>
      </x:c>
      <x:c r="C26" s="49" t="str">
        <x:v>ファイル操作監査</x:v>
      </x:c>
      <x:c r="D26" s="49" t="str">
        <x:v>保持期間内</x:v>
      </x:c>
      <x:c r="E26" s="49" t="str">
        <x:v>actor, action, file/folder id, timestamp, IP/device when available</x:v>
      </x:c>
      <x:c r="F26" s="49" t="str">
        <x:v>event id</x:v>
      </x:c>
      <x:c r="G26" s="49" t="str">
        <x:v>Box file/Matter/Staff</x:v>
      </x:c>
      <x:c r="H26" s="49" t="str">
        <x:v>Box API</x:v>
      </x:c>
      <x:c r="I26" s="49" t="str">
        <x:v>日次</x:v>
      </x:c>
      <x:c r="J26" s="49" t="str">
        <x:v>管理者</x:v>
      </x:c>
      <x:c r="K26" s="49" t="str">
        <x:v>高</x:v>
      </x:c>
      <x:c r="L26" s="49" t="str">
        <x:v>操作証跡</x:v>
      </x:c>
      <x:c r="M26" s="49" t="str">
        <x:v>保持制約あり</x:v>
      </x:c>
      <x:c r="N26" s="49" t="str">
        <x:v>履歴の永続化要否</x:v>
      </x:c>
    </x:row>
  </x:sheetData>
  <x:mergeCells>
    <x:mergeCell ref="A1:N1"/>
    <x:mergeCell ref="A2:N2"/>
  </x:mergeCells>
  <x:dataValidations count="2">
    <x:dataValidation type="list" sqref="K5:K104">
      <x:formula1>"低,中,高,最高"</x:formula1>
    </x:dataValidation>
    <x:dataValidation type="list" sqref="M5:M104">
      <x:formula1>"未調査,要調査,取得可,一部取得,取得済,設計中/一部実装,分散"</x:formula1>
    </x:dataValidation>
  </x:dataValidations>
  <x:pageMargins left="0.7" right="0.7" top="0.75" bottom="0.75" header="0.3" footer="0.3"/>
  <x:tableParts count="1">
    <x:tablePart xmlns:r="http://schemas.openxmlformats.org/officeDocument/2006/relationships" r:id="Rf47466d105e84b86"/>
  </x:tableParts>
</x:worksheet>
</file>

<file path=xl/worksheets/sheet5.xml><?xml version="1.0" encoding="utf-8"?>
<x:worksheet xmlns:x="http://schemas.openxmlformats.org/spreadsheetml/2006/main">
  <x:sheetFormatPr defaultRowHeight="15"/>
  <x:cols>
    <x:col min="1" max="1" width="11" hidden="0" customWidth="1"/>
    <x:col min="2" max="2" width="25" hidden="0" customWidth="1"/>
    <x:col min="3" max="3" width="15" hidden="0" customWidth="1"/>
    <x:col min="4" max="4" width="15" hidden="0" customWidth="1"/>
    <x:col min="5" max="5" width="18" hidden="0" customWidth="1"/>
    <x:col min="6" max="6" width="24" hidden="0" customWidth="1"/>
    <x:col min="7" max="7" width="50" hidden="0" customWidth="1"/>
    <x:col min="8" max="8" width="22" hidden="0" customWidth="1"/>
    <x:col min="9" max="9" width="22" hidden="0" customWidth="1"/>
    <x:col min="10" max="10" width="10" hidden="0" customWidth="1"/>
    <x:col min="11" max="11" width="22" hidden="0" customWidth="1"/>
    <x:col min="12" max="12" width="18" hidden="0" customWidth="1"/>
  </x:cols>
  <x:sheetData>
    <x:row r="1" ht="30" customHeight="1">
      <x:c r="A1" s="5" t="str">
        <x:v>文書・成果物ライフサイクル台帳</x:v>
      </x:c>
      <x:c r="B1" s="5"/>
      <x:c r="C1" s="5"/>
      <x:c r="D1" s="5"/>
      <x:c r="E1" s="5"/>
      <x:c r="F1" s="5"/>
      <x:c r="G1" s="5"/>
      <x:c r="H1" s="5"/>
      <x:c r="I1" s="5"/>
      <x:c r="J1" s="5"/>
      <x:c r="K1" s="5"/>
      <x:c r="L1" s="5"/>
    </x:row>
    <x:row r="2" ht="32" customHeight="1">
      <x:c r="A2" s="13" t="str">
        <x:v>文書名ではなく、文書種別、案件、版、承認、送付、到達、packageを機械可読化する。Box file_id/version_idを中心に、メール・提出・郵便の証跡を結ぶ。</x:v>
      </x:c>
      <x:c r="B2" s="13"/>
      <x:c r="C2" s="13"/>
      <x:c r="D2" s="13"/>
      <x:c r="E2" s="13"/>
      <x:c r="F2" s="13"/>
      <x:c r="G2" s="13"/>
      <x:c r="H2" s="13"/>
      <x:c r="I2" s="13"/>
      <x:c r="J2" s="13"/>
      <x:c r="K2" s="13"/>
      <x:c r="L2" s="13"/>
    </x:row>
    <x:row r="4" ht="30" customHeight="1">
      <x:c r="A4" s="42" t="str">
        <x:v>Doc Type ID</x:v>
      </x:c>
      <x:c r="B4" s="42" t="str">
        <x:v>文書種別</x:v>
      </x:c>
      <x:c r="C4" s="42" t="str">
        <x:v>方向</x:v>
      </x:c>
      <x:c r="D4" s="42" t="str">
        <x:v>工程</x:v>
      </x:c>
      <x:c r="E4" s="42" t="str">
        <x:v>役割/層</x:v>
      </x:c>
      <x:c r="F4" s="42" t="str">
        <x:v>正本候補</x:v>
      </x:c>
      <x:c r="G4" s="42" t="str">
        <x:v>必須メタデータ</x:v>
      </x:c>
      <x:c r="H4" s="42" t="str">
        <x:v>結合先</x:v>
      </x:c>
      <x:c r="I4" s="42" t="str">
        <x:v>自動化</x:v>
      </x:c>
      <x:c r="J4" s="42" t="str">
        <x:v>機密度</x:v>
      </x:c>
      <x:c r="K4" s="42" t="str">
        <x:v>証跡キー</x:v>
      </x:c>
      <x:c r="L4" s="42" t="str">
        <x:v>現状</x:v>
      </x:c>
    </x:row>
    <x:row r="5">
      <x:c r="A5" s="49" t="str">
        <x:v>DOC-001</x:v>
      </x:c>
      <x:c r="B5" s="49" t="str">
        <x:v>問い合わせ本文/フォーム</x:v>
      </x:c>
      <x:c r="C5" s="49" t="str">
        <x:v>inbound</x:v>
      </x:c>
      <x:c r="D5" s="49" t="str">
        <x:v>相談前</x:v>
      </x:c>
      <x:c r="E5" s="49" t="str">
        <x:v>raw</x:v>
      </x:c>
      <x:c r="F5" s="49" t="str">
        <x:v>Gmail/HP</x:v>
      </x:c>
      <x:c r="G5" s="49" t="str">
        <x:v>送信者・受信時刻・本文・添付・同意</x:v>
      </x:c>
      <x:c r="H5" s="49" t="str">
        <x:v>Consultation候補</x:v>
      </x:c>
      <x:c r="I5" s="49" t="str">
        <x:v>自動</x:v>
      </x:c>
      <x:c r="J5" s="49" t="str">
        <x:v>高</x:v>
      </x:c>
      <x:c r="K5" s="49" t="str">
        <x:v>メールID/投稿ID</x:v>
      </x:c>
      <x:c r="L5" s="49" t="str">
        <x:v>要確認</x:v>
      </x:c>
    </x:row>
    <x:row r="6">
      <x:c r="A6" s="49" t="str">
        <x:v>DOC-002</x:v>
      </x:c>
      <x:c r="B6" s="49" t="str">
        <x:v>電話受付メモ</x:v>
      </x:c>
      <x:c r="C6" s="49" t="str">
        <x:v>inbound</x:v>
      </x:c>
      <x:c r="D6" s="49" t="str">
        <x:v>相談前</x:v>
      </x:c>
      <x:c r="E6" s="49" t="str">
        <x:v>record</x:v>
      </x:c>
      <x:c r="F6" s="49" t="str">
        <x:v>Salesforce/Box</x:v>
      </x:c>
      <x:c r="G6" s="49" t="str">
        <x:v>発信者・電話番号・対象者・要旨・期限・折返し</x:v>
      </x:c>
      <x:c r="H6" s="49" t="str">
        <x:v>Consultation候補</x:v>
      </x:c>
      <x:c r="I6" s="49" t="str">
        <x:v>半自動</x:v>
      </x:c>
      <x:c r="J6" s="49" t="str">
        <x:v>高</x:v>
      </x:c>
      <x:c r="K6" s="49" t="str">
        <x:v>通話ID</x:v>
      </x:c>
      <x:c r="L6" s="49" t="str">
        <x:v>要確認</x:v>
      </x:c>
    </x:row>
    <x:row r="7">
      <x:c r="A7" s="49" t="str">
        <x:v>DOC-003</x:v>
      </x:c>
      <x:c r="B7" s="49" t="str">
        <x:v>紹介状/紹介メール</x:v>
      </x:c>
      <x:c r="C7" s="49" t="str">
        <x:v>inbound</x:v>
      </x:c>
      <x:c r="D7" s="49" t="str">
        <x:v>相談前</x:v>
      </x:c>
      <x:c r="E7" s="49" t="str">
        <x:v>raw</x:v>
      </x:c>
      <x:c r="F7" s="49" t="str">
        <x:v>Gmail/Box</x:v>
      </x:c>
      <x:c r="G7" s="49" t="str">
        <x:v>紹介者・依頼候補・関係・相談要旨</x:v>
      </x:c>
      <x:c r="H7" s="49" t="str">
        <x:v>Consultation/Party</x:v>
      </x:c>
      <x:c r="I7" s="49" t="str">
        <x:v>半自動</x:v>
      </x:c>
      <x:c r="J7" s="49" t="str">
        <x:v>高</x:v>
      </x:c>
      <x:c r="K7" s="49" t="str">
        <x:v>message/file ID</x:v>
      </x:c>
      <x:c r="L7" s="49" t="str">
        <x:v>要確認</x:v>
      </x:c>
    </x:row>
    <x:row r="8">
      <x:c r="A8" s="49" t="str">
        <x:v>DOC-004</x:v>
      </x:c>
      <x:c r="B8" s="49" t="str">
        <x:v>コンフリチェック記録</x:v>
      </x:c>
      <x:c r="C8" s="49" t="str">
        <x:v>internal</x:v>
      </x:c>
      <x:c r="D8" s="49" t="str">
        <x:v>相談前</x:v>
      </x:c>
      <x:c r="E8" s="49" t="str">
        <x:v>decision record</x:v>
      </x:c>
      <x:c r="F8" s="49" t="str">
        <x:v>Salesforce</x:v>
      </x:c>
      <x:c r="G8" s="49" t="str">
        <x:v>検索対象・条件・結果・判断者・日時・根拠</x:v>
      </x:c>
      <x:c r="H8" s="49" t="str">
        <x:v>Consultation/Party</x:v>
      </x:c>
      <x:c r="I8" s="49" t="str">
        <x:v>人間承認</x:v>
      </x:c>
      <x:c r="J8" s="49" t="str">
        <x:v>最高</x:v>
      </x:c>
      <x:c r="K8" s="49" t="str">
        <x:v>decision ID</x:v>
      </x:c>
      <x:c r="L8" s="49" t="str">
        <x:v>新設候補</x:v>
      </x:c>
    </x:row>
    <x:row r="9">
      <x:c r="A9" s="49" t="str">
        <x:v>DOC-005</x:v>
      </x:c>
      <x:c r="B9" s="49" t="str">
        <x:v>相談案内・費用説明</x:v>
      </x:c>
      <x:c r="C9" s="49" t="str">
        <x:v>outbound</x:v>
      </x:c>
      <x:c r="D9" s="49" t="str">
        <x:v>相談前</x:v>
      </x:c>
      <x:c r="E9" s="49" t="str">
        <x:v>communication</x:v>
      </x:c>
      <x:c r="F9" s="49" t="str">
        <x:v>Gmail/Box</x:v>
      </x:c>
      <x:c r="G9" s="49" t="str">
        <x:v>候補日時・方式・相談料・条件</x:v>
      </x:c>
      <x:c r="H9" s="49" t="str">
        <x:v>Consultation</x:v>
      </x:c>
      <x:c r="I9" s="49" t="str">
        <x:v>自動検知</x:v>
      </x:c>
      <x:c r="J9" s="49" t="str">
        <x:v>中</x:v>
      </x:c>
      <x:c r="K9" s="49" t="str">
        <x:v>message ID</x:v>
      </x:c>
      <x:c r="L9" s="49" t="str">
        <x:v>既存</x:v>
      </x:c>
    </x:row>
    <x:row r="10">
      <x:c r="A10" s="49" t="str">
        <x:v>DOC-006</x:v>
      </x:c>
      <x:c r="B10" s="49" t="str">
        <x:v>相談票/援助申込書</x:v>
      </x:c>
      <x:c r="C10" s="49" t="str">
        <x:v>inbound/internal</x:v>
      </x:c>
      <x:c r="D10" s="49" t="str">
        <x:v>相談</x:v>
      </x:c>
      <x:c r="E10" s="49" t="str">
        <x:v>form</x:v>
      </x:c>
      <x:c r="F10" s="49" t="str">
        <x:v>Box/Salesforce</x:v>
      </x:c>
      <x:c r="G10" s="49" t="str">
        <x:v>本人・連絡・相手方・収支・相談内容・措置</x:v>
      </x:c>
      <x:c r="H10" s="49" t="str">
        <x:v>Consultation/Party</x:v>
      </x:c>
      <x:c r="I10" s="49" t="str">
        <x:v>構造抽出</x:v>
      </x:c>
      <x:c r="J10" s="49" t="str">
        <x:v>最高</x:v>
      </x:c>
      <x:c r="K10" s="49" t="str">
        <x:v>file ID/form ID</x:v>
      </x:c>
      <x:c r="L10" s="49" t="str">
        <x:v>既存</x:v>
      </x:c>
    </x:row>
    <x:row r="11">
      <x:c r="A11" s="49" t="str">
        <x:v>DOC-007</x:v>
      </x:c>
      <x:c r="B11" s="49" t="str">
        <x:v>事前相談メモ</x:v>
      </x:c>
      <x:c r="C11" s="49" t="str">
        <x:v>internal</x:v>
      </x:c>
      <x:c r="D11" s="49" t="str">
        <x:v>相談前</x:v>
      </x:c>
      <x:c r="E11" s="49" t="str">
        <x:v>work product</x:v>
      </x:c>
      <x:c r="F11" s="49" t="str">
        <x:v>Box</x:v>
      </x:c>
      <x:c r="G11" s="49" t="str">
        <x:v>事実・論点・不足・質問・期限</x:v>
      </x:c>
      <x:c r="H11" s="49" t="str">
        <x:v>Consultation</x:v>
      </x:c>
      <x:c r="I11" s="49" t="str">
        <x:v>AI補助＋レビュー</x:v>
      </x:c>
      <x:c r="J11" s="49" t="str">
        <x:v>高</x:v>
      </x:c>
      <x:c r="K11" s="49" t="str">
        <x:v>file ID/version</x:v>
      </x:c>
      <x:c r="L11" s="49" t="str">
        <x:v>既存</x:v>
      </x:c>
    </x:row>
    <x:row r="12">
      <x:c r="A12" s="49" t="str">
        <x:v>DOC-008</x:v>
      </x:c>
      <x:c r="B12" s="49" t="str">
        <x:v>相談録音/文字起こし</x:v>
      </x:c>
      <x:c r="C12" s="49" t="str">
        <x:v>internal</x:v>
      </x:c>
      <x:c r="D12" s="49" t="str">
        <x:v>相談</x:v>
      </x:c>
      <x:c r="E12" s="49" t="str">
        <x:v>raw/derived</x:v>
      </x:c>
      <x:c r="F12" s="49" t="str">
        <x:v>Notta/Dialpad/Drive</x:v>
      </x:c>
      <x:c r="G12" s="49" t="str">
        <x:v>参加者・時刻・全文・モデル/version</x:v>
      </x:c>
      <x:c r="H12" s="49" t="str">
        <x:v>Consultation/Event</x:v>
      </x:c>
      <x:c r="I12" s="49" t="str">
        <x:v>自動</x:v>
      </x:c>
      <x:c r="J12" s="49" t="str">
        <x:v>最高</x:v>
      </x:c>
      <x:c r="K12" s="49" t="str">
        <x:v>native ID</x:v>
      </x:c>
      <x:c r="L12" s="49" t="str">
        <x:v>既存</x:v>
      </x:c>
    </x:row>
    <x:row r="13">
      <x:c r="A13" s="49" t="str">
        <x:v>DOC-009</x:v>
      </x:c>
      <x:c r="B13" s="49" t="str">
        <x:v>相談要約・助言記録</x:v>
      </x:c>
      <x:c r="C13" s="49" t="str">
        <x:v>internal</x:v>
      </x:c>
      <x:c r="D13" s="49" t="str">
        <x:v>相談後</x:v>
      </x:c>
      <x:c r="E13" s="49" t="str">
        <x:v>derived/curated</x:v>
      </x:c>
      <x:c r="F13" s="49" t="str">
        <x:v>Salesforce/Box</x:v>
      </x:c>
      <x:c r="G13" s="49" t="str">
        <x:v>事実・助言・未確認・次行動・根拠</x:v>
      </x:c>
      <x:c r="H13" s="49" t="str">
        <x:v>Consultation</x:v>
      </x:c>
      <x:c r="I13" s="49" t="str">
        <x:v>AI補助＋弁護士確認</x:v>
      </x:c>
      <x:c r="J13" s="49" t="str">
        <x:v>最高</x:v>
      </x:c>
      <x:c r="K13" s="49" t="str">
        <x:v>record ID</x:v>
      </x:c>
      <x:c r="L13" s="49" t="str">
        <x:v>要標準化</x:v>
      </x:c>
    </x:row>
    <x:row r="14">
      <x:c r="A14" s="49" t="str">
        <x:v>DOC-010</x:v>
      </x:c>
      <x:c r="B14" s="49" t="str">
        <x:v>資料依頼リスト</x:v>
      </x:c>
      <x:c r="C14" s="49" t="str">
        <x:v>outbound/internal</x:v>
      </x:c>
      <x:c r="D14" s="49" t="str">
        <x:v>相談前〜受任後</x:v>
      </x:c>
      <x:c r="E14" s="49" t="str">
        <x:v>checklist</x:v>
      </x:c>
      <x:c r="F14" s="49" t="str">
        <x:v>Salesforce/Gmail</x:v>
      </x:c>
      <x:c r="G14" s="49" t="str">
        <x:v>資料種別・依頼日・期限・必須・受領状態</x:v>
      </x:c>
      <x:c r="H14" s="49" t="str">
        <x:v>Consultation/Matter</x:v>
      </x:c>
      <x:c r="I14" s="49" t="str">
        <x:v>自動生成</x:v>
      </x:c>
      <x:c r="J14" s="49" t="str">
        <x:v>高</x:v>
      </x:c>
      <x:c r="K14" s="49" t="str">
        <x:v>checklist item ID</x:v>
      </x:c>
      <x:c r="L14" s="49" t="str">
        <x:v>新設/既存確認</x:v>
      </x:c>
    </x:row>
    <x:row r="15">
      <x:c r="A15" s="49" t="str">
        <x:v>DOC-011</x:v>
      </x:c>
      <x:c r="B15" s="49" t="str">
        <x:v>依頼者預かり資料</x:v>
      </x:c>
      <x:c r="C15" s="49" t="str">
        <x:v>inbound</x:v>
      </x:c>
      <x:c r="D15" s="49" t="str">
        <x:v>全期間</x:v>
      </x:c>
      <x:c r="E15" s="49" t="str">
        <x:v>raw</x:v>
      </x:c>
      <x:c r="F15" s="49" t="str">
        <x:v>Box</x:v>
      </x:c>
      <x:c r="G15" s="49" t="str">
        <x:v>doc type・作成日・作成者・原本/写し・返却要否</x:v>
      </x:c>
      <x:c r="H15" s="49" t="str">
        <x:v>Matter/Party</x:v>
      </x:c>
      <x:c r="I15" s="49" t="str">
        <x:v>分類＋レビュー</x:v>
      </x:c>
      <x:c r="J15" s="49" t="str">
        <x:v>最高</x:v>
      </x:c>
      <x:c r="K15" s="49" t="str">
        <x:v>Box file ID</x:v>
      </x:c>
      <x:c r="L15" s="49" t="str">
        <x:v>既存</x:v>
      </x:c>
    </x:row>
    <x:row r="16">
      <x:c r="A16" s="49" t="str">
        <x:v>DOC-012</x:v>
      </x:c>
      <x:c r="B16" s="49" t="str">
        <x:v>見積書</x:v>
      </x:c>
      <x:c r="C16" s="49" t="str">
        <x:v>outbound</x:v>
      </x:c>
      <x:c r="D16" s="49" t="str">
        <x:v>受任前</x:v>
      </x:c>
      <x:c r="E16" s="49" t="str">
        <x:v>proposal</x:v>
      </x:c>
      <x:c r="F16" s="49" t="str">
        <x:v>Box/Gmail</x:v>
      </x:c>
      <x:c r="G16" s="49" t="str">
        <x:v>scope・fee model・金額・前提・期限・version</x:v>
      </x:c>
      <x:c r="H16" s="49" t="str">
        <x:v>Consultation/Proposal</x:v>
      </x:c>
      <x:c r="I16" s="49" t="str">
        <x:v>テンプレ＋承認</x:v>
      </x:c>
      <x:c r="J16" s="49" t="str">
        <x:v>最高</x:v>
      </x:c>
      <x:c r="K16" s="49" t="str">
        <x:v>proposal ID/version</x:v>
      </x:c>
      <x:c r="L16" s="49" t="str">
        <x:v>既存</x:v>
      </x:c>
    </x:row>
    <x:row r="17">
      <x:c r="A17" s="49" t="str">
        <x:v>DOC-013</x:v>
      </x:c>
      <x:c r="B17" s="49" t="str">
        <x:v>委任契約書案</x:v>
      </x:c>
      <x:c r="C17" s="49" t="str">
        <x:v>outbound</x:v>
      </x:c>
      <x:c r="D17" s="49" t="str">
        <x:v>受任前</x:v>
      </x:c>
      <x:c r="E17" s="49" t="str">
        <x:v>contract draft</x:v>
      </x:c>
      <x:c r="F17" s="49" t="str">
        <x:v>Box/Gmail</x:v>
      </x:c>
      <x:c r="G17" s="49" t="str">
        <x:v>当事者・scope・fee・協力義務・termination・version</x:v>
      </x:c>
      <x:c r="H17" s="49" t="str">
        <x:v>Consultation/Proposal</x:v>
      </x:c>
      <x:c r="I17" s="49" t="str">
        <x:v>テンプレ＋承認</x:v>
      </x:c>
      <x:c r="J17" s="49" t="str">
        <x:v>最高</x:v>
      </x:c>
      <x:c r="K17" s="49" t="str">
        <x:v>file ID/version</x:v>
      </x:c>
      <x:c r="L17" s="49" t="str">
        <x:v>既存</x:v>
      </x:c>
    </x:row>
    <x:row r="18">
      <x:c r="A18" s="49" t="str">
        <x:v>DOC-014</x:v>
      </x:c>
      <x:c r="B18" s="49" t="str">
        <x:v>署名済委任契約書</x:v>
      </x:c>
      <x:c r="C18" s="49" t="str">
        <x:v>inbound/final</x:v>
      </x:c>
      <x:c r="D18" s="49" t="str">
        <x:v>受任</x:v>
      </x:c>
      <x:c r="E18" s="49" t="str">
        <x:v>contract final</x:v>
      </x:c>
      <x:c r="F18" s="49" t="str">
        <x:v>Box</x:v>
      </x:c>
      <x:c r="G18" s="49" t="str">
        <x:v>当事者・署名日・成立日・scope・fee version</x:v>
      </x:c>
      <x:c r="H18" s="49" t="str">
        <x:v>Matter/Party</x:v>
      </x:c>
      <x:c r="I18" s="49" t="str">
        <x:v>署名検知＋確認</x:v>
      </x:c>
      <x:c r="J18" s="49" t="str">
        <x:v>最高</x:v>
      </x:c>
      <x:c r="K18" s="49" t="str">
        <x:v>Box file ID/version</x:v>
      </x:c>
      <x:c r="L18" s="49" t="str">
        <x:v>既存</x:v>
      </x:c>
    </x:row>
    <x:row r="19">
      <x:c r="A19" s="49" t="str">
        <x:v>DOC-015</x:v>
      </x:c>
      <x:c r="B19" s="49" t="str">
        <x:v>顧問契約書</x:v>
      </x:c>
      <x:c r="C19" s="49" t="str">
        <x:v>outbound/final</x:v>
      </x:c>
      <x:c r="D19" s="49" t="str">
        <x:v>受任</x:v>
      </x:c>
      <x:c r="E19" s="49" t="str">
        <x:v>contract</x:v>
      </x:c>
      <x:c r="F19" s="49" t="str">
        <x:v>Box</x:v>
      </x:c>
      <x:c r="G19" s="49" t="str">
        <x:v>月額・対象範囲・期間・更新・個別課金</x:v>
      </x:c>
      <x:c r="H19" s="49" t="str">
        <x:v>AdvisorContract</x:v>
      </x:c>
      <x:c r="I19" s="49" t="str">
        <x:v>テンプレ＋承認</x:v>
      </x:c>
      <x:c r="J19" s="49" t="str">
        <x:v>最高</x:v>
      </x:c>
      <x:c r="K19" s="49" t="str">
        <x:v>file ID/version</x:v>
      </x:c>
      <x:c r="L19" s="49" t="str">
        <x:v>既存</x:v>
      </x:c>
    </x:row>
    <x:row r="20">
      <x:c r="A20" s="49" t="str">
        <x:v>DOC-016</x:v>
      </x:c>
      <x:c r="B20" s="49" t="str">
        <x:v>初期請求書/着手金請求</x:v>
      </x:c>
      <x:c r="C20" s="49" t="str">
        <x:v>outbound</x:v>
      </x:c>
      <x:c r="D20" s="49" t="str">
        <x:v>受任</x:v>
      </x:c>
      <x:c r="E20" s="49" t="str">
        <x:v>invoice</x:v>
      </x:c>
      <x:c r="F20" s="49" t="str">
        <x:v>MF/Box/Gmail</x:v>
      </x:c>
      <x:c r="G20" s="49" t="str">
        <x:v>invoice no.・payer・fee type・due・amount・matter</x:v>
      </x:c>
      <x:c r="H20" s="49" t="str">
        <x:v>Finance/Matter</x:v>
      </x:c>
      <x:c r="I20" s="49" t="str">
        <x:v>自動生成＋承認</x:v>
      </x:c>
      <x:c r="J20" s="49" t="str">
        <x:v>最高</x:v>
      </x:c>
      <x:c r="K20" s="49" t="str">
        <x:v>invoice ID</x:v>
      </x:c>
      <x:c r="L20" s="49" t="str">
        <x:v>既存</x:v>
      </x:c>
    </x:row>
    <x:row r="21">
      <x:c r="A21" s="49" t="str">
        <x:v>DOC-017</x:v>
      </x:c>
      <x:c r="B21" s="49" t="str">
        <x:v>案件計画/初期方針</x:v>
      </x:c>
      <x:c r="C21" s="49" t="str">
        <x:v>internal</x:v>
      </x:c>
      <x:c r="D21" s="49" t="str">
        <x:v>受任後</x:v>
      </x:c>
      <x:c r="E21" s="49" t="str">
        <x:v>curated</x:v>
      </x:c>
      <x:c r="F21" s="49" t="str">
        <x:v>Salesforce/Box</x:v>
      </x:c>
      <x:c r="G21" s="49" t="str">
        <x:v>目的・論点・手続・milestone・next action・risk</x:v>
      </x:c>
      <x:c r="H21" s="49" t="str">
        <x:v>Matter</x:v>
      </x:c>
      <x:c r="I21" s="49" t="str">
        <x:v>AI補助＋承認</x:v>
      </x:c>
      <x:c r="J21" s="49" t="str">
        <x:v>高</x:v>
      </x:c>
      <x:c r="K21" s="49" t="str">
        <x:v>plan version</x:v>
      </x:c>
      <x:c r="L21" s="49" t="str">
        <x:v>要標準化</x:v>
      </x:c>
    </x:row>
    <x:row r="22">
      <x:c r="A22" s="49" t="str">
        <x:v>DOC-018</x:v>
      </x:c>
      <x:c r="B22" s="49" t="str">
        <x:v>調査メモ</x:v>
      </x:c>
      <x:c r="C22" s="49" t="str">
        <x:v>internal</x:v>
      </x:c>
      <x:c r="D22" s="49" t="str">
        <x:v>遂行</x:v>
      </x:c>
      <x:c r="E22" s="49" t="str">
        <x:v>work product</x:v>
      </x:c>
      <x:c r="F22" s="49" t="str">
        <x:v>Box/ALO KB</x:v>
      </x:c>
      <x:c r="G22" s="49" t="str">
        <x:v>query・sources・findings・limits・author・review</x:v>
      </x:c>
      <x:c r="H22" s="49" t="str">
        <x:v>Matter/WorkSession</x:v>
      </x:c>
      <x:c r="I22" s="49" t="str">
        <x:v>AI補助＋レビュー</x:v>
      </x:c>
      <x:c r="J22" s="49" t="str">
        <x:v>高</x:v>
      </x:c>
      <x:c r="K22" s="49" t="str">
        <x:v>file ID/version</x:v>
      </x:c>
      <x:c r="L22" s="49" t="str">
        <x:v>既存/標準化</x:v>
      </x:c>
    </x:row>
    <x:row r="23">
      <x:c r="A23" s="49" t="str">
        <x:v>DOC-019</x:v>
      </x:c>
      <x:c r="B23" s="49" t="str">
        <x:v>ドラフト</x:v>
      </x:c>
      <x:c r="C23" s="49" t="str">
        <x:v>internal</x:v>
      </x:c>
      <x:c r="D23" s="49" t="str">
        <x:v>遂行</x:v>
      </x:c>
      <x:c r="E23" s="49" t="str">
        <x:v>draft</x:v>
      </x:c>
      <x:c r="F23" s="49" t="str">
        <x:v>Box</x:v>
      </x:c>
      <x:c r="G23" s="49" t="str">
        <x:v>doc type・author・version・review stage・source refs</x:v>
      </x:c>
      <x:c r="H23" s="49" t="str">
        <x:v>Matter/WorkItem</x:v>
      </x:c>
      <x:c r="I23" s="49" t="str">
        <x:v>自動メタ付与</x:v>
      </x:c>
      <x:c r="J23" s="49" t="str">
        <x:v>高</x:v>
      </x:c>
      <x:c r="K23" s="49" t="str">
        <x:v>file ID/version</x:v>
      </x:c>
      <x:c r="L23" s="49" t="str">
        <x:v>既存</x:v>
      </x:c>
    </x:row>
    <x:row r="24">
      <x:c r="A24" s="49" t="str">
        <x:v>DOC-020</x:v>
      </x:c>
      <x:c r="B24" s="49" t="str">
        <x:v>レビュー記録</x:v>
      </x:c>
      <x:c r="C24" s="49" t="str">
        <x:v>internal</x:v>
      </x:c>
      <x:c r="D24" s="49" t="str">
        <x:v>レビュー</x:v>
      </x:c>
      <x:c r="E24" s="49" t="str">
        <x:v>decision record</x:v>
      </x:c>
      <x:c r="F24" s="49" t="str">
        <x:v>Box/Salesforce</x:v>
      </x:c>
      <x:c r="G24" s="49" t="str">
        <x:v>reviewer・criteria・comments・decision・timestamp</x:v>
      </x:c>
      <x:c r="H24" s="49" t="str">
        <x:v>Document/WorkItem</x:v>
      </x:c>
      <x:c r="I24" s="49" t="str">
        <x:v>人間</x:v>
      </x:c>
      <x:c r="J24" s="49" t="str">
        <x:v>最高</x:v>
      </x:c>
      <x:c r="K24" s="49" t="str">
        <x:v>review ID</x:v>
      </x:c>
      <x:c r="L24" s="49" t="str">
        <x:v>新設候補</x:v>
      </x:c>
    </x:row>
    <x:row r="25">
      <x:c r="A25" s="49" t="str">
        <x:v>DOC-021</x:v>
      </x:c>
      <x:c r="B25" s="49" t="str">
        <x:v>顧客確認版</x:v>
      </x:c>
      <x:c r="C25" s="49" t="str">
        <x:v>outbound</x:v>
      </x:c>
      <x:c r="D25" s="49" t="str">
        <x:v>レビュー</x:v>
      </x:c>
      <x:c r="E25" s="49" t="str">
        <x:v>client review</x:v>
      </x:c>
      <x:c r="F25" s="49" t="str">
        <x:v>Box/Gmail</x:v>
      </x:c>
      <x:c r="G25" s="49" t="str">
        <x:v>version・questions・approval deadline</x:v>
      </x:c>
      <x:c r="H25" s="49" t="str">
        <x:v>Matter/Document</x:v>
      </x:c>
      <x:c r="I25" s="49" t="str">
        <x:v>自動送付証跡</x:v>
      </x:c>
      <x:c r="J25" s="49" t="str">
        <x:v>高</x:v>
      </x:c>
      <x:c r="K25" s="49" t="str">
        <x:v>file ID/message ID</x:v>
      </x:c>
      <x:c r="L25" s="49" t="str">
        <x:v>既存</x:v>
      </x:c>
    </x:row>
    <x:row r="26">
      <x:c r="A26" s="49" t="str">
        <x:v>DOC-022</x:v>
      </x:c>
      <x:c r="B26" s="49" t="str">
        <x:v>顧客承認記録</x:v>
      </x:c>
      <x:c r="C26" s="49" t="str">
        <x:v>inbound</x:v>
      </x:c>
      <x:c r="D26" s="49" t="str">
        <x:v>レビュー</x:v>
      </x:c>
      <x:c r="E26" s="49" t="str">
        <x:v>approval</x:v>
      </x:c>
      <x:c r="F26" s="49" t="str">
        <x:v>Gmail/Salesforce</x:v>
      </x:c>
      <x:c r="G26" s="49" t="str">
        <x:v>approved version・conditions・approver・timestamp</x:v>
      </x:c>
      <x:c r="H26" s="49" t="str">
        <x:v>Document/Matter</x:v>
      </x:c>
      <x:c r="I26" s="49" t="str">
        <x:v>検知＋確認</x:v>
      </x:c>
      <x:c r="J26" s="49" t="str">
        <x:v>最高</x:v>
      </x:c>
      <x:c r="K26" s="49" t="str">
        <x:v>message/decision ID</x:v>
      </x:c>
      <x:c r="L26" s="49" t="str">
        <x:v>新設候補</x:v>
      </x:c>
    </x:row>
    <x:row r="27">
      <x:c r="A27" s="49" t="str">
        <x:v>DOC-023</x:v>
      </x:c>
      <x:c r="B27" s="49" t="str">
        <x:v>対外送付書面</x:v>
      </x:c>
      <x:c r="C27" s="49" t="str">
        <x:v>outbound</x:v>
      </x:c>
      <x:c r="D27" s="49" t="str">
        <x:v>遂行</x:v>
      </x:c>
      <x:c r="E27" s="49" t="str">
        <x:v>final deliverable</x:v>
      </x:c>
      <x:c r="F27" s="49" t="str">
        <x:v>Box/Gmail/FAX/郵送</x:v>
      </x:c>
      <x:c r="G27" s="49" t="str">
        <x:v>final version・recipient・channel・sent_at・security</x:v>
      </x:c>
      <x:c r="H27" s="49" t="str">
        <x:v>Matter/Document</x:v>
      </x:c>
      <x:c r="I27" s="49" t="str">
        <x:v>送付前承認</x:v>
      </x:c>
      <x:c r="J27" s="49" t="str">
        <x:v>最高</x:v>
      </x:c>
      <x:c r="K27" s="49" t="str">
        <x:v>file/message/tracking ID</x:v>
      </x:c>
      <x:c r="L27" s="49" t="str">
        <x:v>既存</x:v>
      </x:c>
    </x:row>
    <x:row r="28">
      <x:c r="A28" s="49" t="str">
        <x:v>DOC-024</x:v>
      </x:c>
      <x:c r="B28" s="49" t="str">
        <x:v>裁判所提出書面</x:v>
      </x:c>
      <x:c r="C28" s="49" t="str">
        <x:v>outbound</x:v>
      </x:c>
      <x:c r="D28" s="49" t="str">
        <x:v>遂行</x:v>
      </x:c>
      <x:c r="E28" s="49" t="str">
        <x:v>filed deliverable</x:v>
      </x:c>
      <x:c r="F28" s="49" t="str">
        <x:v>Box/MINTS/Teams/FAX/郵送</x:v>
      </x:c>
      <x:c r="G28" s="49" t="str">
        <x:v>court・case no.・version・submitted_at・receipt</x:v>
      </x:c>
      <x:c r="H28" s="49" t="str">
        <x:v>Matter/Court/Deadline</x:v>
      </x:c>
      <x:c r="I28" s="49" t="str">
        <x:v>提出証跡連携</x:v>
      </x:c>
      <x:c r="J28" s="49" t="str">
        <x:v>最高</x:v>
      </x:c>
      <x:c r="K28" s="49" t="str">
        <x:v>file/receipt ID</x:v>
      </x:c>
      <x:c r="L28" s="49" t="str">
        <x:v>既存</x:v>
      </x:c>
    </x:row>
    <x:row r="29">
      <x:c r="A29" s="49" t="str">
        <x:v>DOC-025</x:v>
      </x:c>
      <x:c r="B29" s="49" t="str">
        <x:v>送付状/提出manifest</x:v>
      </x:c>
      <x:c r="C29" s="49" t="str">
        <x:v>outbound</x:v>
      </x:c>
      <x:c r="D29" s="49" t="str">
        <x:v>遂行</x:v>
      </x:c>
      <x:c r="E29" s="49" t="str">
        <x:v>package manifest</x:v>
      </x:c>
      <x:c r="F29" s="49" t="str">
        <x:v>Box</x:v>
      </x:c>
      <x:c r="G29" s="49" t="str">
        <x:v>同封物・版・通数・hash・送付先</x:v>
      </x:c>
      <x:c r="H29" s="49" t="str">
        <x:v>DeliverablePackage</x:v>
      </x:c>
      <x:c r="I29" s="49" t="str">
        <x:v>自動生成</x:v>
      </x:c>
      <x:c r="J29" s="49" t="str">
        <x:v>中</x:v>
      </x:c>
      <x:c r="K29" s="49" t="str">
        <x:v>package ID</x:v>
      </x:c>
      <x:c r="L29" s="49" t="str">
        <x:v>一部既存</x:v>
      </x:c>
    </x:row>
    <x:row r="30">
      <x:c r="A30" s="49" t="str">
        <x:v>DOC-026</x:v>
      </x:c>
      <x:c r="B30" s="49" t="str">
        <x:v>受領/受付/配達証明</x:v>
      </x:c>
      <x:c r="C30" s="49" t="str">
        <x:v>inbound</x:v>
      </x:c>
      <x:c r="D30" s="49" t="str">
        <x:v>遂行</x:v>
      </x:c>
      <x:c r="E30" s="49" t="str">
        <x:v>acknowledgement</x:v>
      </x:c>
      <x:c r="F30" s="49" t="str">
        <x:v>Gmail/MINTS/FAX/郵便/Box</x:v>
      </x:c>
      <x:c r="G30" s="49" t="str">
        <x:v>received_at・recipient・receipt no.・status</x:v>
      </x:c>
      <x:c r="H30" s="49" t="str">
        <x:v>DeliverablePackage</x:v>
      </x:c>
      <x:c r="I30" s="49" t="str">
        <x:v>自動取得</x:v>
      </x:c>
      <x:c r="J30" s="49" t="str">
        <x:v>最高</x:v>
      </x:c>
      <x:c r="K30" s="49" t="str">
        <x:v>external ID</x:v>
      </x:c>
      <x:c r="L30" s="49" t="str">
        <x:v>分散</x:v>
      </x:c>
    </x:row>
    <x:row r="31">
      <x:c r="A31" s="49" t="str">
        <x:v>DOC-027</x:v>
      </x:c>
      <x:c r="B31" s="49" t="str">
        <x:v>和解書/契約成果物</x:v>
      </x:c>
      <x:c r="C31" s="49" t="str">
        <x:v>final</x:v>
      </x:c>
      <x:c r="D31" s="49" t="str">
        <x:v>解決</x:v>
      </x:c>
      <x:c r="E31" s="49" t="str">
        <x:v>outcome document</x:v>
      </x:c>
      <x:c r="F31" s="49" t="str">
        <x:v>Box</x:v>
      </x:c>
      <x:c r="G31" s="49" t="str">
        <x:v>parties・date・obligations・amounts・deadlines</x:v>
      </x:c>
      <x:c r="H31" s="49" t="str">
        <x:v>Matter/Outcome</x:v>
      </x:c>
      <x:c r="I31" s="49" t="str">
        <x:v>構造抽出＋確認</x:v>
      </x:c>
      <x:c r="J31" s="49" t="str">
        <x:v>最高</x:v>
      </x:c>
      <x:c r="K31" s="49" t="str">
        <x:v>file ID/version</x:v>
      </x:c>
      <x:c r="L31" s="49" t="str">
        <x:v>既存</x:v>
      </x:c>
    </x:row>
    <x:row r="32">
      <x:c r="A32" s="49" t="str">
        <x:v>DOC-028</x:v>
      </x:c>
      <x:c r="B32" s="49" t="str">
        <x:v>判決/決定/審判</x:v>
      </x:c>
      <x:c r="C32" s="49" t="str">
        <x:v>inbound/final</x:v>
      </x:c>
      <x:c r="D32" s="49" t="str">
        <x:v>解決</x:v>
      </x:c>
      <x:c r="E32" s="49" t="str">
        <x:v>outcome document</x:v>
      </x:c>
      <x:c r="F32" s="49" t="str">
        <x:v>Box</x:v>
      </x:c>
      <x:c r="G32" s="49" t="str">
        <x:v>court・date・result・deadlines・enforceability</x:v>
      </x:c>
      <x:c r="H32" s="49" t="str">
        <x:v>Matter/Outcome/Court</x:v>
      </x:c>
      <x:c r="I32" s="49" t="str">
        <x:v>構造抽出＋確認</x:v>
      </x:c>
      <x:c r="J32" s="49" t="str">
        <x:v>最高</x:v>
      </x:c>
      <x:c r="K32" s="49" t="str">
        <x:v>file ID</x:v>
      </x:c>
      <x:c r="L32" s="49" t="str">
        <x:v>既存</x:v>
      </x:c>
    </x:row>
    <x:row r="33">
      <x:c r="A33" s="49" t="str">
        <x:v>DOC-029</x:v>
      </x:c>
      <x:c r="B33" s="49" t="str">
        <x:v>成果・解決メモ</x:v>
      </x:c>
      <x:c r="C33" s="49" t="str">
        <x:v>internal</x:v>
      </x:c>
      <x:c r="D33" s="49" t="str">
        <x:v>解決</x:v>
      </x:c>
      <x:c r="E33" s="49" t="str">
        <x:v>curated</x:v>
      </x:c>
      <x:c r="F33" s="49" t="str">
        <x:v>Salesforce/Box</x:v>
      </x:c>
      <x:c r="G33" s="49" t="str">
        <x:v>outcome type・quantitative/qualitative result・remaining actions</x:v>
      </x:c>
      <x:c r="H33" s="49" t="str">
        <x:v>Matter/Outcome</x:v>
      </x:c>
      <x:c r="I33" s="49" t="str">
        <x:v>AI補助＋確認</x:v>
      </x:c>
      <x:c r="J33" s="49" t="str">
        <x:v>高</x:v>
      </x:c>
      <x:c r="K33" s="49" t="str">
        <x:v>outcome ID</x:v>
      </x:c>
      <x:c r="L33" s="49" t="str">
        <x:v>要標準化</x:v>
      </x:c>
    </x:row>
    <x:row r="34">
      <x:c r="A34" s="49" t="str">
        <x:v>DOC-030</x:v>
      </x:c>
      <x:c r="B34" s="49" t="str">
        <x:v>最終請求書/報酬計算書</x:v>
      </x:c>
      <x:c r="C34" s="49" t="str">
        <x:v>outbound</x:v>
      </x:c>
      <x:c r="D34" s="49" t="str">
        <x:v>終結</x:v>
      </x:c>
      <x:c r="E34" s="49" t="str">
        <x:v>invoice/calculation</x:v>
      </x:c>
      <x:c r="F34" s="49" t="str">
        <x:v>MF/Box</x:v>
      </x:c>
      <x:c r="G34" s="49" t="str">
        <x:v>economic benefit・formula・fees・expenses・offset/refund</x:v>
      </x:c>
      <x:c r="H34" s="49" t="str">
        <x:v>Matter/Finance</x:v>
      </x:c>
      <x:c r="I34" s="49" t="str">
        <x:v>計算＋承認</x:v>
      </x:c>
      <x:c r="J34" s="49" t="str">
        <x:v>最高</x:v>
      </x:c>
      <x:c r="K34" s="49" t="str">
        <x:v>invoice ID</x:v>
      </x:c>
      <x:c r="L34" s="49" t="str">
        <x:v>既存</x:v>
      </x:c>
    </x:row>
    <x:row r="35">
      <x:c r="A35" s="49" t="str">
        <x:v>DOC-031</x:v>
      </x:c>
      <x:c r="B35" s="49" t="str">
        <x:v>預り金・実費精算書</x:v>
      </x:c>
      <x:c r="C35" s="49" t="str">
        <x:v>outbound/internal</x:v>
      </x:c>
      <x:c r="D35" s="49" t="str">
        <x:v>終結</x:v>
      </x:c>
      <x:c r="E35" s="49" t="str">
        <x:v>reconciliation</x:v>
      </x:c>
      <x:c r="F35" s="49" t="str">
        <x:v>Salesforce/MF/Box</x:v>
      </x:c>
      <x:c r="G35" s="49" t="str">
        <x:v>opening・movements・closing・refund/collection</x:v>
      </x:c>
      <x:c r="H35" s="49" t="str">
        <x:v>Matter/Finance</x:v>
      </x:c>
      <x:c r="I35" s="49" t="str">
        <x:v>自動照合＋承認</x:v>
      </x:c>
      <x:c r="J35" s="49" t="str">
        <x:v>最高</x:v>
      </x:c>
      <x:c r="K35" s="49" t="str">
        <x:v>reconciliation ID</x:v>
      </x:c>
      <x:c r="L35" s="49" t="str">
        <x:v>既存/要標準化</x:v>
      </x:c>
    </x:row>
    <x:row r="36">
      <x:c r="A36" s="49" t="str">
        <x:v>DOC-032</x:v>
      </x:c>
      <x:c r="B36" s="49" t="str">
        <x:v>原本/預かり物返却一覧</x:v>
      </x:c>
      <x:c r="C36" s="49" t="str">
        <x:v>outbound/internal</x:v>
      </x:c>
      <x:c r="D36" s="49" t="str">
        <x:v>終結</x:v>
      </x:c>
      <x:c r="E36" s="49" t="str">
        <x:v>return manifest</x:v>
      </x:c>
      <x:c r="F36" s="49" t="str">
        <x:v>Salesforce/Box</x:v>
      </x:c>
      <x:c r="G36" s="49" t="str">
        <x:v>item・original/copy・method・returned_at・recipient</x:v>
      </x:c>
      <x:c r="H36" s="49" t="str">
        <x:v>Matter/KeepingItem</x:v>
      </x:c>
      <x:c r="I36" s="49" t="str">
        <x:v>自動生成＋確認</x:v>
      </x:c>
      <x:c r="J36" s="49" t="str">
        <x:v>最高</x:v>
      </x:c>
      <x:c r="K36" s="49" t="str">
        <x:v>manifest ID</x:v>
      </x:c>
      <x:c r="L36" s="49" t="str">
        <x:v>一部既存</x:v>
      </x:c>
    </x:row>
    <x:row r="37">
      <x:c r="A37" s="49" t="str">
        <x:v>DOC-033</x:v>
      </x:c>
      <x:c r="B37" s="49" t="str">
        <x:v>業務終了報告書</x:v>
      </x:c>
      <x:c r="C37" s="49" t="str">
        <x:v>outbound</x:v>
      </x:c>
      <x:c r="D37" s="49" t="str">
        <x:v>終結</x:v>
      </x:c>
      <x:c r="E37" s="49" t="str">
        <x:v>closing report</x:v>
      </x:c>
      <x:c r="F37" s="49" t="str">
        <x:v>Box</x:v>
      </x:c>
      <x:c r="G37" s="49" t="str">
        <x:v>matter・work performed・outcome・post-actions・fees・returns・future notes</x:v>
      </x:c>
      <x:c r="H37" s="49" t="str">
        <x:v>Matter/Outcome/Finance</x:v>
      </x:c>
      <x:c r="I37" s="49" t="str">
        <x:v>テンプレ＋承認</x:v>
      </x:c>
      <x:c r="J37" s="49" t="str">
        <x:v>最高</x:v>
      </x:c>
      <x:c r="K37" s="49" t="str">
        <x:v>file ID/version</x:v>
      </x:c>
      <x:c r="L37" s="49" t="str">
        <x:v>既存</x:v>
      </x:c>
    </x:row>
    <x:row r="38">
      <x:c r="A38" s="49" t="str">
        <x:v>DOC-034</x:v>
      </x:c>
      <x:c r="B38" s="49" t="str">
        <x:v>終了パッケージmanifest</x:v>
      </x:c>
      <x:c r="C38" s="49" t="str">
        <x:v>outbound/internal</x:v>
      </x:c>
      <x:c r="D38" s="49" t="str">
        <x:v>終結</x:v>
      </x:c>
      <x:c r="E38" s="49" t="str">
        <x:v>package manifest</x:v>
      </x:c>
      <x:c r="F38" s="49" t="str">
        <x:v>Box</x:v>
      </x:c>
      <x:c r="G38" s="49" t="str">
        <x:v>closing report・invoice・reconciliation・returned items・deliverables</x:v>
      </x:c>
      <x:c r="H38" s="49" t="str">
        <x:v>Matter</x:v>
      </x:c>
      <x:c r="I38" s="49" t="str">
        <x:v>自動生成</x:v>
      </x:c>
      <x:c r="J38" s="49" t="str">
        <x:v>高</x:v>
      </x:c>
      <x:c r="K38" s="49" t="str">
        <x:v>package ID</x:v>
      </x:c>
      <x:c r="L38" s="49" t="str">
        <x:v>新設候補</x:v>
      </x:c>
    </x:row>
    <x:row r="39">
      <x:c r="A39" s="49" t="str">
        <x:v>DOC-035</x:v>
      </x:c>
      <x:c r="B39" s="49" t="str">
        <x:v>案件知識サマリー</x:v>
      </x:c>
      <x:c r="C39" s="49" t="str">
        <x:v>internal</x:v>
      </x:c>
      <x:c r="D39" s="49" t="str">
        <x:v>終結後</x:v>
      </x:c>
      <x:c r="E39" s="49" t="str">
        <x:v>curated/derived</x:v>
      </x:c>
      <x:c r="F39" s="49" t="str">
        <x:v>ALO KB/Box</x:v>
      </x:c>
      <x:c r="G39" s="49" t="str">
        <x:v>facts pattern・issues・strategy・result・reusable assets・provenance</x:v>
      </x:c>
      <x:c r="H39" s="49" t="str">
        <x:v>Matter/Knowledge</x:v>
      </x:c>
      <x:c r="I39" s="49" t="str">
        <x:v>AI生成＋弁護士承認</x:v>
      </x:c>
      <x:c r="J39" s="49" t="str">
        <x:v>高</x:v>
      </x:c>
      <x:c r="K39" s="49" t="str">
        <x:v>knowledge ID</x:v>
      </x:c>
      <x:c r="L39" s="49" t="str">
        <x:v>構想</x:v>
      </x:c>
    </x:row>
  </x:sheetData>
  <x:mergeCells>
    <x:mergeCell ref="A1:L1"/>
    <x:mergeCell ref="A2:L2"/>
  </x:mergeCells>
  <x:dataValidations count="2">
    <x:dataValidation type="list" sqref="J5:J104">
      <x:formula1>"低,中,高,最高"</x:formula1>
    </x:dataValidation>
    <x:dataValidation type="list" sqref="L5:L104">
      <x:formula1>"既存,一部既存,既存/標準化,既存/要標準化,要標準化,新設候補,構想,要確認"</x:formula1>
    </x:dataValidation>
  </x:dataValidations>
  <x:pageMargins left="0.7" right="0.7" top="0.75" bottom="0.75" header="0.3" footer="0.3"/>
  <x:tableParts count="1">
    <x:tablePart xmlns:r="http://schemas.openxmlformats.org/officeDocument/2006/relationships" r:id="Rcb9e956a5f524550"/>
  </x:tableParts>
</x:worksheet>
</file>

<file path=xl/worksheets/sheet6.xml><?xml version="1.0" encoding="utf-8"?>
<x:worksheet xmlns:x="http://schemas.openxmlformats.org/spreadsheetml/2006/main">
  <x:sheetFormatPr defaultRowHeight="15"/>
  <x:cols>
    <x:col min="1" max="1" width="10" hidden="0" customWidth="1"/>
    <x:col min="2" max="2" width="31" hidden="0" customWidth="1"/>
    <x:col min="3" max="3" width="14" hidden="0" customWidth="1"/>
    <x:col min="4" max="4" width="34" hidden="0" customWidth="1"/>
    <x:col min="5" max="5" width="26" hidden="0" customWidth="1"/>
    <x:col min="6" max="6" width="17" hidden="0" customWidth="1"/>
    <x:col min="7" max="7" width="28" hidden="0" customWidth="1"/>
    <x:col min="8" max="8" width="56" hidden="0" customWidth="1"/>
    <x:col min="9" max="9" width="32" hidden="0" customWidth="1"/>
    <x:col min="10" max="10" width="12" hidden="0" customWidth="1"/>
  </x:cols>
  <x:sheetData>
    <x:row r="1" ht="30" customHeight="1">
      <x:c r="A1" s="5" t="str">
        <x:v>業務イベント分類 v0.1</x:v>
      </x:c>
      <x:c r="B1" s="5"/>
      <x:c r="C1" s="5"/>
      <x:c r="D1" s="5"/>
      <x:c r="E1" s="5"/>
      <x:c r="F1" s="5"/>
      <x:c r="G1" s="5"/>
      <x:c r="H1" s="5"/>
      <x:c r="I1" s="5"/>
      <x:c r="J1" s="5"/>
    </x:row>
    <x:row r="2" ht="32" customHeight="1">
      <x:c r="A2" s="13" t="str">
        <x:v>Gmail等の元データを消費して状態を直接上書きせず、まずappend-only eventとして保存する。人間判断が必要なイベントは候補→承認とする。</x:v>
      </x:c>
      <x:c r="B2" s="13"/>
      <x:c r="C2" s="13"/>
      <x:c r="D2" s="13"/>
      <x:c r="E2" s="13"/>
      <x:c r="F2" s="13"/>
      <x:c r="G2" s="13"/>
      <x:c r="H2" s="13"/>
      <x:c r="I2" s="13"/>
      <x:c r="J2" s="13"/>
    </x:row>
    <x:row r="4" ht="30" customHeight="1">
      <x:c r="A4" s="42" t="str">
        <x:v>Event ID</x:v>
      </x:c>
      <x:c r="B4" s="42" t="str">
        <x:v>event_type</x:v>
      </x:c>
      <x:c r="C4" s="42" t="str">
        <x:v>分類</x:v>
      </x:c>
      <x:c r="D4" s="42" t="str">
        <x:v>定義</x:v>
      </x:c>
      <x:c r="E4" s="42" t="str">
        <x:v>主ソース</x:v>
      </x:c>
      <x:c r="F4" s="42" t="str">
        <x:v>確定方法</x:v>
      </x:c>
      <x:c r="G4" s="42" t="str">
        <x:v>状態への影響</x:v>
      </x:c>
      <x:c r="H4" s="42" t="str">
        <x:v>必須属性</x:v>
      </x:c>
      <x:c r="I4" s="42" t="str">
        <x:v>訂正原則</x:v>
      </x:c>
      <x:c r="J4" s="42" t="str">
        <x:v>確認状態</x:v>
      </x:c>
    </x:row>
    <x:row r="5">
      <x:c r="A5" s="49" t="str">
        <x:v>EV-001</x:v>
      </x:c>
      <x:c r="B5" s="49" t="str">
        <x:v>inquiry_received</x:v>
      </x:c>
      <x:c r="C5" s="49" t="str">
        <x:v>流入</x:v>
      </x:c>
      <x:c r="D5" s="49" t="str">
        <x:v>問合せ受信</x:v>
      </x:c>
      <x:c r="E5" s="49" t="str">
        <x:v>Gmail/HP/Dialpad</x:v>
      </x:c>
      <x:c r="F5" s="49" t="str">
        <x:v>観測</x:v>
      </x:c>
      <x:c r="G5" s="49" t="str">
        <x:v>Consultation:new</x:v>
      </x:c>
      <x:c r="H5" s="49" t="str">
        <x:v>event_id, occurred_at, captured_at, actor, matter_ref, source_native_id, confidence, review_status</x:v>
      </x:c>
      <x:c r="I5" s="49" t="str">
        <x:v>append-only。訂正は無効化＋新イベント</x:v>
      </x:c>
      <x:c r="J5" s="49" t="str">
        <x:v>要確認</x:v>
      </x:c>
    </x:row>
    <x:row r="6">
      <x:c r="A6" s="49" t="str">
        <x:v>EV-002</x:v>
      </x:c>
      <x:c r="B6" s="49" t="str">
        <x:v>consultation_candidate_created</x:v>
      </x:c>
      <x:c r="C6" s="49" t="str">
        <x:v>流入</x:v>
      </x:c>
      <x:c r="D6" s="49" t="str">
        <x:v>相談候補作成</x:v>
      </x:c>
      <x:c r="E6" s="49" t="str">
        <x:v>Salesforce</x:v>
      </x:c>
      <x:c r="F6" s="49" t="str">
        <x:v>承認</x:v>
      </x:c>
      <x:c r="G6" s="49" t="str">
        <x:v>Consultation:inquiry</x:v>
      </x:c>
      <x:c r="H6" s="49" t="str">
        <x:v>event_id, occurred_at, captured_at, actor, matter_ref, source_native_id, confidence, review_status</x:v>
      </x:c>
      <x:c r="I6" s="49" t="str">
        <x:v>append-only。訂正は無効化＋新イベント</x:v>
      </x:c>
      <x:c r="J6" s="49" t="str">
        <x:v>要確認</x:v>
      </x:c>
    </x:row>
    <x:row r="7">
      <x:c r="A7" s="49" t="str">
        <x:v>EV-003</x:v>
      </x:c>
      <x:c r="B7" s="49" t="str">
        <x:v>safe_contact_confirmed</x:v>
      </x:c>
      <x:c r="C7" s="49" t="str">
        <x:v>本人関係</x:v>
      </x:c>
      <x:c r="D7" s="49" t="str">
        <x:v>安全連絡方法確認</x:v>
      </x:c>
      <x:c r="E7" s="49" t="str">
        <x:v>Salesforce/Gmail/Dialpad</x:v>
      </x:c>
      <x:c r="F7" s="49" t="str">
        <x:v>承認</x:v>
      </x:c>
      <x:c r="G7" s="49" t="str">
        <x:v>Consultation:identity_checked</x:v>
      </x:c>
      <x:c r="H7" s="49" t="str">
        <x:v>event_id, occurred_at, captured_at, actor, matter_ref, source_native_id, confidence, review_status</x:v>
      </x:c>
      <x:c r="I7" s="49" t="str">
        <x:v>append-only。訂正は無効化＋新イベント</x:v>
      </x:c>
      <x:c r="J7" s="49" t="str">
        <x:v>要確認</x:v>
      </x:c>
    </x:row>
    <x:row r="8">
      <x:c r="A8" s="49" t="str">
        <x:v>EV-004</x:v>
      </x:c>
      <x:c r="B8" s="49" t="str">
        <x:v>party_identified</x:v>
      </x:c>
      <x:c r="C8" s="49" t="str">
        <x:v>本人関係</x:v>
      </x:c>
      <x:c r="D8" s="49" t="str">
        <x:v>依頼候補/相手方/関係者を識別</x:v>
      </x:c>
      <x:c r="E8" s="49" t="str">
        <x:v>Salesforce</x:v>
      </x:c>
      <x:c r="F8" s="49" t="str">
        <x:v>承認</x:v>
      </x:c>
      <x:c r="G8" s="49" t="str">
        <x:v>Party updated</x:v>
      </x:c>
      <x:c r="H8" s="49" t="str">
        <x:v>event_id, occurred_at, captured_at, actor, matter_ref, source_native_id, confidence, review_status</x:v>
      </x:c>
      <x:c r="I8" s="49" t="str">
        <x:v>append-only。訂正は無効化＋新イベント</x:v>
      </x:c>
      <x:c r="J8" s="49" t="str">
        <x:v>要確認</x:v>
      </x:c>
    </x:row>
    <x:row r="9">
      <x:c r="A9" s="49" t="str">
        <x:v>EV-005</x:v>
      </x:c>
      <x:c r="B9" s="49" t="str">
        <x:v>conflict_check_requested</x:v>
      </x:c>
      <x:c r="C9" s="49" t="str">
        <x:v>コンフリ</x:v>
      </x:c>
      <x:c r="D9" s="49" t="str">
        <x:v>チェック依頼</x:v>
      </x:c>
      <x:c r="E9" s="49" t="str">
        <x:v>Salesforce</x:v>
      </x:c>
      <x:c r="F9" s="49" t="str">
        <x:v>自動/手動</x:v>
      </x:c>
      <x:c r="G9" s="49" t="str">
        <x:v>Consultation:conflict_pending</x:v>
      </x:c>
      <x:c r="H9" s="49" t="str">
        <x:v>event_id, occurred_at, captured_at, actor, matter_ref, source_native_id, confidence, review_status</x:v>
      </x:c>
      <x:c r="I9" s="49" t="str">
        <x:v>append-only。訂正は無効化＋新イベント</x:v>
      </x:c>
      <x:c r="J9" s="49" t="str">
        <x:v>要確認</x:v>
      </x:c>
    </x:row>
    <x:row r="10">
      <x:c r="A10" s="49" t="str">
        <x:v>EV-006</x:v>
      </x:c>
      <x:c r="B10" s="49" t="str">
        <x:v>conflict_check_completed</x:v>
      </x:c>
      <x:c r="C10" s="49" t="str">
        <x:v>コンフリ</x:v>
      </x:c>
      <x:c r="D10" s="49" t="str">
        <x:v>結果確定</x:v>
      </x:c>
      <x:c r="E10" s="49" t="str">
        <x:v>Salesforce</x:v>
      </x:c>
      <x:c r="F10" s="49" t="str">
        <x:v>人間必須</x:v>
      </x:c>
      <x:c r="G10" s="49" t="str">
        <x:v>Consultation:conflict_pass/fail/escalate</x:v>
      </x:c>
      <x:c r="H10" s="49" t="str">
        <x:v>event_id, occurred_at, captured_at, actor, matter_ref, source_native_id, confidence, review_status</x:v>
      </x:c>
      <x:c r="I10" s="49" t="str">
        <x:v>append-only。訂正は無効化＋新イベント</x:v>
      </x:c>
      <x:c r="J10" s="49" t="str">
        <x:v>要確認</x:v>
      </x:c>
    </x:row>
    <x:row r="11">
      <x:c r="A11" s="49" t="str">
        <x:v>EV-007</x:v>
      </x:c>
      <x:c r="B11" s="49" t="str">
        <x:v>triage_completed</x:v>
      </x:c>
      <x:c r="C11" s="49" t="str">
        <x:v>トリアージ</x:v>
      </x:c>
      <x:c r="D11" s="49" t="str">
        <x:v>受入/紹介/辞退判断</x:v>
      </x:c>
      <x:c r="E11" s="49" t="str">
        <x:v>Salesforce</x:v>
      </x:c>
      <x:c r="F11" s="49" t="str">
        <x:v>人間必須</x:v>
      </x:c>
      <x:c r="G11" s="49" t="str">
        <x:v>Consultation:triaged</x:v>
      </x:c>
      <x:c r="H11" s="49" t="str">
        <x:v>event_id, occurred_at, captured_at, actor, matter_ref, source_native_id, confidence, review_status</x:v>
      </x:c>
      <x:c r="I11" s="49" t="str">
        <x:v>append-only。訂正は無効化＋新イベント</x:v>
      </x:c>
      <x:c r="J11" s="49" t="str">
        <x:v>要確認</x:v>
      </x:c>
    </x:row>
    <x:row r="12">
      <x:c r="A12" s="49" t="str">
        <x:v>EV-008</x:v>
      </x:c>
      <x:c r="B12" s="49" t="str">
        <x:v>consultation_date_options_sent</x:v>
      </x:c>
      <x:c r="C12" s="49" t="str">
        <x:v>日程</x:v>
      </x:c>
      <x:c r="D12" s="49" t="str">
        <x:v>候補日時・費用説明送付</x:v>
      </x:c>
      <x:c r="E12" s="49" t="str">
        <x:v>Gmail</x:v>
      </x:c>
      <x:c r="F12" s="49" t="str">
        <x:v>自動検知</x:v>
      </x:c>
      <x:c r="G12" s="49" t="str">
        <x:v>Consultation:scheduling</x:v>
      </x:c>
      <x:c r="H12" s="49" t="str">
        <x:v>event_id, occurred_at, captured_at, actor, matter_ref, source_native_id, confidence, review_status</x:v>
      </x:c>
      <x:c r="I12" s="49" t="str">
        <x:v>append-only。訂正は無効化＋新イベント</x:v>
      </x:c>
      <x:c r="J12" s="49" t="str">
        <x:v>要確認</x:v>
      </x:c>
    </x:row>
    <x:row r="13">
      <x:c r="A13" s="49" t="str">
        <x:v>EV-009</x:v>
      </x:c>
      <x:c r="B13" s="49" t="str">
        <x:v>consultation_scheduled</x:v>
      </x:c>
      <x:c r="C13" s="49" t="str">
        <x:v>日程</x:v>
      </x:c>
      <x:c r="D13" s="49" t="str">
        <x:v>日時/方式確定</x:v>
      </x:c>
      <x:c r="E13" s="49" t="str">
        <x:v>Gmail/Calendar</x:v>
      </x:c>
      <x:c r="F13" s="49" t="str">
        <x:v>確認</x:v>
      </x:c>
      <x:c r="G13" s="49" t="str">
        <x:v>Consultation:scheduled</x:v>
      </x:c>
      <x:c r="H13" s="49" t="str">
        <x:v>event_id, occurred_at, captured_at, actor, matter_ref, source_native_id, confidence, review_status</x:v>
      </x:c>
      <x:c r="I13" s="49" t="str">
        <x:v>append-only。訂正は無効化＋新イベント</x:v>
      </x:c>
      <x:c r="J13" s="49" t="str">
        <x:v>要確認</x:v>
      </x:c>
    </x:row>
    <x:row r="14">
      <x:c r="A14" s="49" t="str">
        <x:v>EV-010</x:v>
      </x:c>
      <x:c r="B14" s="49" t="str">
        <x:v>consultation_rescheduled</x:v>
      </x:c>
      <x:c r="C14" s="49" t="str">
        <x:v>日程</x:v>
      </x:c>
      <x:c r="D14" s="49" t="str">
        <x:v>日時変更</x:v>
      </x:c>
      <x:c r="E14" s="49" t="str">
        <x:v>Gmail/Calendar</x:v>
      </x:c>
      <x:c r="F14" s="49" t="str">
        <x:v>自動検知</x:v>
      </x:c>
      <x:c r="G14" s="49" t="str">
        <x:v>Consultation:scheduled</x:v>
      </x:c>
      <x:c r="H14" s="49" t="str">
        <x:v>event_id, occurred_at, captured_at, actor, matter_ref, source_native_id, confidence, review_status</x:v>
      </x:c>
      <x:c r="I14" s="49" t="str">
        <x:v>append-only。訂正は無効化＋新イベント</x:v>
      </x:c>
      <x:c r="J14" s="49" t="str">
        <x:v>要確認</x:v>
      </x:c>
    </x:row>
    <x:row r="15">
      <x:c r="A15" s="49" t="str">
        <x:v>EV-011</x:v>
      </x:c>
      <x:c r="B15" s="49" t="str">
        <x:v>consultation_cancelled</x:v>
      </x:c>
      <x:c r="C15" s="49" t="str">
        <x:v>日程</x:v>
      </x:c>
      <x:c r="D15" s="49" t="str">
        <x:v>取消/無断欠席</x:v>
      </x:c>
      <x:c r="E15" s="49" t="str">
        <x:v>Gmail/Calendar</x:v>
      </x:c>
      <x:c r="F15" s="49" t="str">
        <x:v>確認</x:v>
      </x:c>
      <x:c r="G15" s="49" t="str">
        <x:v>Consultation:closed/hold</x:v>
      </x:c>
      <x:c r="H15" s="49" t="str">
        <x:v>event_id, occurred_at, captured_at, actor, matter_ref, source_native_id, confidence, review_status</x:v>
      </x:c>
      <x:c r="I15" s="49" t="str">
        <x:v>append-only。訂正は無効化＋新イベント</x:v>
      </x:c>
      <x:c r="J15" s="49" t="str">
        <x:v>要確認</x:v>
      </x:c>
    </x:row>
    <x:row r="16">
      <x:c r="A16" s="49" t="str">
        <x:v>EV-012</x:v>
      </x:c>
      <x:c r="B16" s="49" t="str">
        <x:v>document_requested</x:v>
      </x:c>
      <x:c r="C16" s="49" t="str">
        <x:v>資料</x:v>
      </x:c>
      <x:c r="D16" s="49" t="str">
        <x:v>資料依頼</x:v>
      </x:c>
      <x:c r="E16" s="49" t="str">
        <x:v>Gmail/Salesforce</x:v>
      </x:c>
      <x:c r="F16" s="49" t="str">
        <x:v>自動候補</x:v>
      </x:c>
      <x:c r="G16" s="49" t="str">
        <x:v>Checklist open</x:v>
      </x:c>
      <x:c r="H16" s="49" t="str">
        <x:v>event_id, occurred_at, captured_at, actor, matter_ref, source_native_id, confidence, review_status</x:v>
      </x:c>
      <x:c r="I16" s="49" t="str">
        <x:v>append-only。訂正は無効化＋新イベント</x:v>
      </x:c>
      <x:c r="J16" s="49" t="str">
        <x:v>要確認</x:v>
      </x:c>
    </x:row>
    <x:row r="17">
      <x:c r="A17" s="49" t="str">
        <x:v>EV-013</x:v>
      </x:c>
      <x:c r="B17" s="49" t="str">
        <x:v>document_received</x:v>
      </x:c>
      <x:c r="C17" s="49" t="str">
        <x:v>資料</x:v>
      </x:c>
      <x:c r="D17" s="49" t="str">
        <x:v>資料受領</x:v>
      </x:c>
      <x:c r="E17" s="49" t="str">
        <x:v>Gmail/Box/Postal</x:v>
      </x:c>
      <x:c r="F17" s="49" t="str">
        <x:v>自動候補</x:v>
      </x:c>
      <x:c r="G17" s="49" t="str">
        <x:v>Checklist item received</x:v>
      </x:c>
      <x:c r="H17" s="49" t="str">
        <x:v>event_id, occurred_at, captured_at, actor, matter_ref, source_native_id, confidence, review_status</x:v>
      </x:c>
      <x:c r="I17" s="49" t="str">
        <x:v>append-only。訂正は無効化＋新イベント</x:v>
      </x:c>
      <x:c r="J17" s="49" t="str">
        <x:v>要確認</x:v>
      </x:c>
    </x:row>
    <x:row r="18">
      <x:c r="A18" s="49" t="str">
        <x:v>EV-014</x:v>
      </x:c>
      <x:c r="B18" s="49" t="str">
        <x:v>document_classified</x:v>
      </x:c>
      <x:c r="C18" s="49" t="str">
        <x:v>資料</x:v>
      </x:c>
      <x:c r="D18" s="49" t="str">
        <x:v>文書種別・案件確定</x:v>
      </x:c>
      <x:c r="E18" s="49" t="str">
        <x:v>Box/ALO Connect</x:v>
      </x:c>
      <x:c r="F18" s="49" t="str">
        <x:v>HITL</x:v>
      </x:c>
      <x:c r="G18" s="49" t="str">
        <x:v>Document:classified</x:v>
      </x:c>
      <x:c r="H18" s="49" t="str">
        <x:v>event_id, occurred_at, captured_at, actor, matter_ref, source_native_id, confidence, review_status</x:v>
      </x:c>
      <x:c r="I18" s="49" t="str">
        <x:v>append-only。訂正は無効化＋新イベント</x:v>
      </x:c>
      <x:c r="J18" s="49" t="str">
        <x:v>要確認</x:v>
      </x:c>
    </x:row>
    <x:row r="19">
      <x:c r="A19" s="49" t="str">
        <x:v>EV-015</x:v>
      </x:c>
      <x:c r="B19" s="49" t="str">
        <x:v>consultation_started</x:v>
      </x:c>
      <x:c r="C19" s="49" t="str">
        <x:v>相談</x:v>
      </x:c>
      <x:c r="D19" s="49" t="str">
        <x:v>相談開始</x:v>
      </x:c>
      <x:c r="E19" s="49" t="str">
        <x:v>Calendar/Notta</x:v>
      </x:c>
      <x:c r="F19" s="49" t="str">
        <x:v>自動候補</x:v>
      </x:c>
      <x:c r="G19" s="49" t="str">
        <x:v>Consultation:in_progress</x:v>
      </x:c>
      <x:c r="H19" s="49" t="str">
        <x:v>event_id, occurred_at, captured_at, actor, matter_ref, source_native_id, confidence, review_status</x:v>
      </x:c>
      <x:c r="I19" s="49" t="str">
        <x:v>append-only。訂正は無効化＋新イベント</x:v>
      </x:c>
      <x:c r="J19" s="49" t="str">
        <x:v>要確認</x:v>
      </x:c>
    </x:row>
    <x:row r="20">
      <x:c r="A20" s="49" t="str">
        <x:v>EV-016</x:v>
      </x:c>
      <x:c r="B20" s="49" t="str">
        <x:v>consultation_completed</x:v>
      </x:c>
      <x:c r="C20" s="49" t="str">
        <x:v>相談</x:v>
      </x:c>
      <x:c r="D20" s="49" t="str">
        <x:v>相談終了</x:v>
      </x:c>
      <x:c r="E20" s="49" t="str">
        <x:v>Calendar/Notta/SF</x:v>
      </x:c>
      <x:c r="F20" s="49" t="str">
        <x:v>確認</x:v>
      </x:c>
      <x:c r="G20" s="49" t="str">
        <x:v>Consultation:consulted</x:v>
      </x:c>
      <x:c r="H20" s="49" t="str">
        <x:v>event_id, occurred_at, captured_at, actor, matter_ref, source_native_id, confidence, review_status</x:v>
      </x:c>
      <x:c r="I20" s="49" t="str">
        <x:v>append-only。訂正は無効化＋新イベント</x:v>
      </x:c>
      <x:c r="J20" s="49" t="str">
        <x:v>要確認</x:v>
      </x:c>
    </x:row>
    <x:row r="21">
      <x:c r="A21" s="49" t="str">
        <x:v>EV-017</x:v>
      </x:c>
      <x:c r="B21" s="49" t="str">
        <x:v>advice_recorded</x:v>
      </x:c>
      <x:c r="C21" s="49" t="str">
        <x:v>相談</x:v>
      </x:c>
      <x:c r="D21" s="49" t="str">
        <x:v>助言・未確認事項を記録</x:v>
      </x:c>
      <x:c r="E21" s="49" t="str">
        <x:v>Salesforce/Box</x:v>
      </x:c>
      <x:c r="F21" s="49" t="str">
        <x:v>弁護士確認</x:v>
      </x:c>
      <x:c r="G21" s="49" t="str">
        <x:v>Decision/Advice</x:v>
      </x:c>
      <x:c r="H21" s="49" t="str">
        <x:v>event_id, occurred_at, captured_at, actor, matter_ref, source_native_id, confidence, review_status</x:v>
      </x:c>
      <x:c r="I21" s="49" t="str">
        <x:v>append-only。訂正は無効化＋新イベント</x:v>
      </x:c>
      <x:c r="J21" s="49" t="str">
        <x:v>要確認</x:v>
      </x:c>
    </x:row>
    <x:row r="22">
      <x:c r="A22" s="49" t="str">
        <x:v>EV-018</x:v>
      </x:c>
      <x:c r="B22" s="49" t="str">
        <x:v>followup_question_received</x:v>
      </x:c>
      <x:c r="C22" s="49" t="str">
        <x:v>相談後</x:v>
      </x:c>
      <x:c r="D22" s="49" t="str">
        <x:v>受任前追加質問</x:v>
      </x:c>
      <x:c r="E22" s="49" t="str">
        <x:v>Gmail/Dialpad</x:v>
      </x:c>
      <x:c r="F22" s="49" t="str">
        <x:v>自動候補</x:v>
      </x:c>
      <x:c r="G22" s="49" t="str">
        <x:v>Consultation:followup</x:v>
      </x:c>
      <x:c r="H22" s="49" t="str">
        <x:v>event_id, occurred_at, captured_at, actor, matter_ref, source_native_id, confidence, review_status</x:v>
      </x:c>
      <x:c r="I22" s="49" t="str">
        <x:v>append-only。訂正は無効化＋新イベント</x:v>
      </x:c>
      <x:c r="J22" s="49" t="str">
        <x:v>要確認</x:v>
      </x:c>
    </x:row>
    <x:row r="23">
      <x:c r="A23" s="49" t="str">
        <x:v>EV-019</x:v>
      </x:c>
      <x:c r="B23" s="49" t="str">
        <x:v>post_consult_decision_recorded</x:v>
      </x:c>
      <x:c r="C23" s="49" t="str">
        <x:v>相談後</x:v>
      </x:c>
      <x:c r="D23" s="49" t="str">
        <x:v>受任提案/継続/非受任</x:v>
      </x:c>
      <x:c r="E23" s="49" t="str">
        <x:v>Salesforce</x:v>
      </x:c>
      <x:c r="F23" s="49" t="str">
        <x:v>人間必須</x:v>
      </x:c>
      <x:c r="G23" s="49" t="str">
        <x:v>Consultation:proposal_pending/closed</x:v>
      </x:c>
      <x:c r="H23" s="49" t="str">
        <x:v>event_id, occurred_at, captured_at, actor, matter_ref, source_native_id, confidence, review_status</x:v>
      </x:c>
      <x:c r="I23" s="49" t="str">
        <x:v>append-only。訂正は無効化＋新イベント</x:v>
      </x:c>
      <x:c r="J23" s="49" t="str">
        <x:v>要確認</x:v>
      </x:c>
    </x:row>
    <x:row r="24">
      <x:c r="A24" s="49" t="str">
        <x:v>EV-020</x:v>
      </x:c>
      <x:c r="B24" s="49" t="str">
        <x:v>quote_requested</x:v>
      </x:c>
      <x:c r="C24" s="49" t="str">
        <x:v>提案</x:v>
      </x:c>
      <x:c r="D24" s="49" t="str">
        <x:v>見積依頼</x:v>
      </x:c>
      <x:c r="E24" s="49" t="str">
        <x:v>Gmail/SF</x:v>
      </x:c>
      <x:c r="F24" s="49" t="str">
        <x:v>自動候補</x:v>
      </x:c>
      <x:c r="G24" s="49" t="str">
        <x:v>WorkItem open</x:v>
      </x:c>
      <x:c r="H24" s="49" t="str">
        <x:v>event_id, occurred_at, captured_at, actor, matter_ref, source_native_id, confidence, review_status</x:v>
      </x:c>
      <x:c r="I24" s="49" t="str">
        <x:v>append-only。訂正は無効化＋新イベント</x:v>
      </x:c>
      <x:c r="J24" s="49" t="str">
        <x:v>要確認</x:v>
      </x:c>
    </x:row>
    <x:row r="25">
      <x:c r="A25" s="49" t="str">
        <x:v>EV-021</x:v>
      </x:c>
      <x:c r="B25" s="49" t="str">
        <x:v>proposal_created</x:v>
      </x:c>
      <x:c r="C25" s="49" t="str">
        <x:v>提案</x:v>
      </x:c>
      <x:c r="D25" s="49" t="str">
        <x:v>見積・契約案パック作成</x:v>
      </x:c>
      <x:c r="E25" s="49" t="str">
        <x:v>Box/SF</x:v>
      </x:c>
      <x:c r="F25" s="49" t="str">
        <x:v>承認</x:v>
      </x:c>
      <x:c r="G25" s="49" t="str">
        <x:v>Proposal:draft</x:v>
      </x:c>
      <x:c r="H25" s="49" t="str">
        <x:v>event_id, occurred_at, captured_at, actor, matter_ref, source_native_id, confidence, review_status</x:v>
      </x:c>
      <x:c r="I25" s="49" t="str">
        <x:v>append-only。訂正は無効化＋新イベント</x:v>
      </x:c>
      <x:c r="J25" s="49" t="str">
        <x:v>要確認</x:v>
      </x:c>
    </x:row>
    <x:row r="26">
      <x:c r="A26" s="49" t="str">
        <x:v>EV-022</x:v>
      </x:c>
      <x:c r="B26" s="49" t="str">
        <x:v>proposal_approved_internal</x:v>
      </x:c>
      <x:c r="C26" s="49" t="str">
        <x:v>提案</x:v>
      </x:c>
      <x:c r="D26" s="49" t="str">
        <x:v>内部承認</x:v>
      </x:c>
      <x:c r="E26" s="49" t="str">
        <x:v>Salesforce/Box</x:v>
      </x:c>
      <x:c r="F26" s="49" t="str">
        <x:v>人間必須</x:v>
      </x:c>
      <x:c r="G26" s="49" t="str">
        <x:v>Proposal:approved</x:v>
      </x:c>
      <x:c r="H26" s="49" t="str">
        <x:v>event_id, occurred_at, captured_at, actor, matter_ref, source_native_id, confidence, review_status</x:v>
      </x:c>
      <x:c r="I26" s="49" t="str">
        <x:v>append-only。訂正は無効化＋新イベント</x:v>
      </x:c>
      <x:c r="J26" s="49" t="str">
        <x:v>要確認</x:v>
      </x:c>
    </x:row>
    <x:row r="27">
      <x:c r="A27" s="49" t="str">
        <x:v>EV-023</x:v>
      </x:c>
      <x:c r="B27" s="49" t="str">
        <x:v>proposal_sent</x:v>
      </x:c>
      <x:c r="C27" s="49" t="str">
        <x:v>提案</x:v>
      </x:c>
      <x:c r="D27" s="49" t="str">
        <x:v>提案パック送付</x:v>
      </x:c>
      <x:c r="E27" s="49" t="str">
        <x:v>Gmail/Box</x:v>
      </x:c>
      <x:c r="F27" s="49" t="str">
        <x:v>自動証跡</x:v>
      </x:c>
      <x:c r="G27" s="49" t="str">
        <x:v>Proposal:sent</x:v>
      </x:c>
      <x:c r="H27" s="49" t="str">
        <x:v>event_id, occurred_at, captured_at, actor, matter_ref, source_native_id, confidence, review_status</x:v>
      </x:c>
      <x:c r="I27" s="49" t="str">
        <x:v>append-only。訂正は無効化＋新イベント</x:v>
      </x:c>
      <x:c r="J27" s="49" t="str">
        <x:v>要確認</x:v>
      </x:c>
    </x:row>
    <x:row r="28">
      <x:c r="A28" s="49" t="str">
        <x:v>EV-024</x:v>
      </x:c>
      <x:c r="B28" s="49" t="str">
        <x:v>proposal_followup_due</x:v>
      </x:c>
      <x:c r="C28" s="49" t="str">
        <x:v>提案</x:v>
      </x:c>
      <x:c r="D28" s="49" t="str">
        <x:v>フォロー期限到来</x:v>
      </x:c>
      <x:c r="E28" s="49" t="str">
        <x:v>Task</x:v>
      </x:c>
      <x:c r="F28" s="49" t="str">
        <x:v>自動</x:v>
      </x:c>
      <x:c r="G28" s="49" t="str">
        <x:v>WorkItem due</x:v>
      </x:c>
      <x:c r="H28" s="49" t="str">
        <x:v>event_id, occurred_at, captured_at, actor, matter_ref, source_native_id, confidence, review_status</x:v>
      </x:c>
      <x:c r="I28" s="49" t="str">
        <x:v>append-only。訂正は無効化＋新イベント</x:v>
      </x:c>
      <x:c r="J28" s="49" t="str">
        <x:v>要確認</x:v>
      </x:c>
    </x:row>
    <x:row r="29">
      <x:c r="A29" s="49" t="str">
        <x:v>EV-025</x:v>
      </x:c>
      <x:c r="B29" s="49" t="str">
        <x:v>proposal_revision_requested</x:v>
      </x:c>
      <x:c r="C29" s="49" t="str">
        <x:v>提案</x:v>
      </x:c>
      <x:c r="D29" s="49" t="str">
        <x:v>修正要求</x:v>
      </x:c>
      <x:c r="E29" s="49" t="str">
        <x:v>Gmail/Meeting</x:v>
      </x:c>
      <x:c r="F29" s="49" t="str">
        <x:v>自動候補</x:v>
      </x:c>
      <x:c r="G29" s="49" t="str">
        <x:v>Proposal:negotiation</x:v>
      </x:c>
      <x:c r="H29" s="49" t="str">
        <x:v>event_id, occurred_at, captured_at, actor, matter_ref, source_native_id, confidence, review_status</x:v>
      </x:c>
      <x:c r="I29" s="49" t="str">
        <x:v>append-only。訂正は無効化＋新イベント</x:v>
      </x:c>
      <x:c r="J29" s="49" t="str">
        <x:v>要確認</x:v>
      </x:c>
    </x:row>
    <x:row r="30">
      <x:c r="A30" s="49" t="str">
        <x:v>EV-026</x:v>
      </x:c>
      <x:c r="B30" s="49" t="str">
        <x:v>proposal_accepted</x:v>
      </x:c>
      <x:c r="C30" s="49" t="str">
        <x:v>提案</x:v>
      </x:c>
      <x:c r="D30" s="49" t="str">
        <x:v>条件受諾</x:v>
      </x:c>
      <x:c r="E30" s="49" t="str">
        <x:v>Gmail/SF</x:v>
      </x:c>
      <x:c r="F30" s="49" t="str">
        <x:v>確認</x:v>
      </x:c>
      <x:c r="G30" s="49" t="str">
        <x:v>Proposal:accepted</x:v>
      </x:c>
      <x:c r="H30" s="49" t="str">
        <x:v>event_id, occurred_at, captured_at, actor, matter_ref, source_native_id, confidence, review_status</x:v>
      </x:c>
      <x:c r="I30" s="49" t="str">
        <x:v>append-only。訂正は無効化＋新イベント</x:v>
      </x:c>
      <x:c r="J30" s="49" t="str">
        <x:v>要確認</x:v>
      </x:c>
    </x:row>
    <x:row r="31">
      <x:c r="A31" s="49" t="str">
        <x:v>EV-027</x:v>
      </x:c>
      <x:c r="B31" s="49" t="str">
        <x:v>proposal_rejected</x:v>
      </x:c>
      <x:c r="C31" s="49" t="str">
        <x:v>提案</x:v>
      </x:c>
      <x:c r="D31" s="49" t="str">
        <x:v>失注/辞退</x:v>
      </x:c>
      <x:c r="E31" s="49" t="str">
        <x:v>Gmail/SF</x:v>
      </x:c>
      <x:c r="F31" s="49" t="str">
        <x:v>確認</x:v>
      </x:c>
      <x:c r="G31" s="49" t="str">
        <x:v>Consultation:closed_lost</x:v>
      </x:c>
      <x:c r="H31" s="49" t="str">
        <x:v>event_id, occurred_at, captured_at, actor, matter_ref, source_native_id, confidence, review_status</x:v>
      </x:c>
      <x:c r="I31" s="49" t="str">
        <x:v>append-only。訂正は無効化＋新イベント</x:v>
      </x:c>
      <x:c r="J31" s="49" t="str">
        <x:v>要確認</x:v>
      </x:c>
    </x:row>
    <x:row r="32">
      <x:c r="A32" s="49" t="str">
        <x:v>EV-028</x:v>
      </x:c>
      <x:c r="B32" s="49" t="str">
        <x:v>engagement_signed</x:v>
      </x:c>
      <x:c r="C32" s="49" t="str">
        <x:v>受任</x:v>
      </x:c>
      <x:c r="D32" s="49" t="str">
        <x:v>署名済契約受領</x:v>
      </x:c>
      <x:c r="E32" s="49" t="str">
        <x:v>Box/Gmail</x:v>
      </x:c>
      <x:c r="F32" s="49" t="str">
        <x:v>人間必須</x:v>
      </x:c>
      <x:c r="G32" s="49" t="str">
        <x:v>Engagement:signed</x:v>
      </x:c>
      <x:c r="H32" s="49" t="str">
        <x:v>event_id, occurred_at, captured_at, actor, matter_ref, source_native_id, confidence, review_status</x:v>
      </x:c>
      <x:c r="I32" s="49" t="str">
        <x:v>append-only。訂正は無効化＋新イベント</x:v>
      </x:c>
      <x:c r="J32" s="49" t="str">
        <x:v>要確認</x:v>
      </x:c>
    </x:row>
    <x:row r="33">
      <x:c r="A33" s="49" t="str">
        <x:v>EV-029</x:v>
      </x:c>
      <x:c r="B33" s="49" t="str">
        <x:v>retainer_invoice_sent</x:v>
      </x:c>
      <x:c r="C33" s="49" t="str">
        <x:v>財務</x:v>
      </x:c>
      <x:c r="D33" s="49" t="str">
        <x:v>着手金等請求</x:v>
      </x:c>
      <x:c r="E33" s="49" t="str">
        <x:v>MF/Gmail</x:v>
      </x:c>
      <x:c r="F33" s="49" t="str">
        <x:v>自動証跡</x:v>
      </x:c>
      <x:c r="G33" s="49" t="str">
        <x:v>Finance:invoice_sent</x:v>
      </x:c>
      <x:c r="H33" s="49" t="str">
        <x:v>event_id, occurred_at, captured_at, actor, matter_ref, source_native_id, confidence, review_status</x:v>
      </x:c>
      <x:c r="I33" s="49" t="str">
        <x:v>append-only。訂正は無効化＋新イベント</x:v>
      </x:c>
      <x:c r="J33" s="49" t="str">
        <x:v>要確認</x:v>
      </x:c>
    </x:row>
    <x:row r="34">
      <x:c r="A34" s="49" t="str">
        <x:v>EV-030</x:v>
      </x:c>
      <x:c r="B34" s="49" t="str">
        <x:v>payment_acknowledged_external</x:v>
      </x:c>
      <x:c r="C34" s="49" t="str">
        <x:v>財務</x:v>
      </x:c>
      <x:c r="D34" s="49" t="str">
        <x:v>支払者が処理開始/受領確認</x:v>
      </x:c>
      <x:c r="E34" s="49" t="str">
        <x:v>Gmail</x:v>
      </x:c>
      <x:c r="F34" s="49" t="str">
        <x:v>自動候補</x:v>
      </x:c>
      <x:c r="G34" s="49" t="str">
        <x:v>Finance:acknowledged</x:v>
      </x:c>
      <x:c r="H34" s="49" t="str">
        <x:v>event_id, occurred_at, captured_at, actor, matter_ref, source_native_id, confidence, review_status</x:v>
      </x:c>
      <x:c r="I34" s="49" t="str">
        <x:v>append-only。訂正は無効化＋新イベント</x:v>
      </x:c>
      <x:c r="J34" s="49" t="str">
        <x:v>要確認</x:v>
      </x:c>
    </x:row>
    <x:row r="35">
      <x:c r="A35" s="49" t="str">
        <x:v>EV-031</x:v>
      </x:c>
      <x:c r="B35" s="49" t="str">
        <x:v>payment_received</x:v>
      </x:c>
      <x:c r="C35" s="49" t="str">
        <x:v>財務</x:v>
      </x:c>
      <x:c r="D35" s="49" t="str">
        <x:v>入金消込</x:v>
      </x:c>
      <x:c r="E35" s="49" t="str">
        <x:v>MF/Bank/SF</x:v>
      </x:c>
      <x:c r="F35" s="49" t="str">
        <x:v>確認</x:v>
      </x:c>
      <x:c r="G35" s="49" t="str">
        <x:v>Finance:paid/part_paid</x:v>
      </x:c>
      <x:c r="H35" s="49" t="str">
        <x:v>event_id, occurred_at, captured_at, actor, matter_ref, source_native_id, confidence, review_status</x:v>
      </x:c>
      <x:c r="I35" s="49" t="str">
        <x:v>append-only。訂正は無効化＋新イベント</x:v>
      </x:c>
      <x:c r="J35" s="49" t="str">
        <x:v>要確認</x:v>
      </x:c>
    </x:row>
    <x:row r="36">
      <x:c r="A36" s="49" t="str">
        <x:v>EV-032</x:v>
      </x:c>
      <x:c r="B36" s="49" t="str">
        <x:v>consultation_converted_to_matter</x:v>
      </x:c>
      <x:c r="C36" s="49" t="str">
        <x:v>受任</x:v>
      </x:c>
      <x:c r="D36" s="49" t="str">
        <x:v>相談から受任案件へ変換</x:v>
      </x:c>
      <x:c r="E36" s="49" t="str">
        <x:v>Salesforce</x:v>
      </x:c>
      <x:c r="F36" s="49" t="str">
        <x:v>人間/自動</x:v>
      </x:c>
      <x:c r="G36" s="49" t="str">
        <x:v>Matter:onboarding</x:v>
      </x:c>
      <x:c r="H36" s="49" t="str">
        <x:v>event_id, occurred_at, captured_at, actor, matter_ref, source_native_id, confidence, review_status</x:v>
      </x:c>
      <x:c r="I36" s="49" t="str">
        <x:v>append-only。訂正は無効化＋新イベント</x:v>
      </x:c>
      <x:c r="J36" s="49" t="str">
        <x:v>要確認</x:v>
      </x:c>
    </x:row>
    <x:row r="37">
      <x:c r="A37" s="49" t="str">
        <x:v>EV-033</x:v>
      </x:c>
      <x:c r="B37" s="49" t="str">
        <x:v>matter_workspace_created</x:v>
      </x:c>
      <x:c r="C37" s="49" t="str">
        <x:v>受任</x:v>
      </x:c>
      <x:c r="D37" s="49" t="str">
        <x:v>Boxフォルダ/共有設定</x:v>
      </x:c>
      <x:c r="E37" s="49" t="str">
        <x:v>Box/SF</x:v>
      </x:c>
      <x:c r="F37" s="49" t="str">
        <x:v>自動</x:v>
      </x:c>
      <x:c r="G37" s="49" t="str">
        <x:v>Matter:onboarding</x:v>
      </x:c>
      <x:c r="H37" s="49" t="str">
        <x:v>event_id, occurred_at, captured_at, actor, matter_ref, source_native_id, confidence, review_status</x:v>
      </x:c>
      <x:c r="I37" s="49" t="str">
        <x:v>append-only。訂正は無効化＋新イベント</x:v>
      </x:c>
      <x:c r="J37" s="49" t="str">
        <x:v>要確認</x:v>
      </x:c>
    </x:row>
    <x:row r="38">
      <x:c r="A38" s="49" t="str">
        <x:v>EV-034</x:v>
      </x:c>
      <x:c r="B38" s="49" t="str">
        <x:v>matter_plan_approved</x:v>
      </x:c>
      <x:c r="C38" s="49" t="str">
        <x:v>計画</x:v>
      </x:c>
      <x:c r="D38" s="49" t="str">
        <x:v>案件計画確定</x:v>
      </x:c>
      <x:c r="E38" s="49" t="str">
        <x:v>Salesforce/Box</x:v>
      </x:c>
      <x:c r="F38" s="49" t="str">
        <x:v>人間必須</x:v>
      </x:c>
      <x:c r="G38" s="49" t="str">
        <x:v>Matter:active</x:v>
      </x:c>
      <x:c r="H38" s="49" t="str">
        <x:v>event_id, occurred_at, captured_at, actor, matter_ref, source_native_id, confidence, review_status</x:v>
      </x:c>
      <x:c r="I38" s="49" t="str">
        <x:v>append-only。訂正は無効化＋新イベント</x:v>
      </x:c>
      <x:c r="J38" s="49" t="str">
        <x:v>要確認</x:v>
      </x:c>
    </x:row>
    <x:row r="39">
      <x:c r="A39" s="49" t="str">
        <x:v>EV-035</x:v>
      </x:c>
      <x:c r="B39" s="49" t="str">
        <x:v>inbound_message_received</x:v>
      </x:c>
      <x:c r="C39" s="49" t="str">
        <x:v>連絡</x:v>
      </x:c>
      <x:c r="D39" s="49" t="str">
        <x:v>案件関連受信</x:v>
      </x:c>
      <x:c r="E39" s="49" t="str">
        <x:v>Gmail/Chatwork</x:v>
      </x:c>
      <x:c r="F39" s="49" t="str">
        <x:v>自動候補</x:v>
      </x:c>
      <x:c r="G39" s="49" t="str">
        <x:v>Matter activity</x:v>
      </x:c>
      <x:c r="H39" s="49" t="str">
        <x:v>event_id, occurred_at, captured_at, actor, matter_ref, source_native_id, confidence, review_status</x:v>
      </x:c>
      <x:c r="I39" s="49" t="str">
        <x:v>append-only。訂正は無効化＋新イベント</x:v>
      </x:c>
      <x:c r="J39" s="49" t="str">
        <x:v>要確認</x:v>
      </x:c>
    </x:row>
    <x:row r="40">
      <x:c r="A40" s="49" t="str">
        <x:v>EV-036</x:v>
      </x:c>
      <x:c r="B40" s="49" t="str">
        <x:v>call_completed</x:v>
      </x:c>
      <x:c r="C40" s="49" t="str">
        <x:v>連絡</x:v>
      </x:c>
      <x:c r="D40" s="49" t="str">
        <x:v>通話終了</x:v>
      </x:c>
      <x:c r="E40" s="49" t="str">
        <x:v>Dialpad</x:v>
      </x:c>
      <x:c r="F40" s="49" t="str">
        <x:v>自動</x:v>
      </x:c>
      <x:c r="G40" s="49" t="str">
        <x:v>Matter activity</x:v>
      </x:c>
      <x:c r="H40" s="49" t="str">
        <x:v>event_id, occurred_at, captured_at, actor, matter_ref, source_native_id, confidence, review_status</x:v>
      </x:c>
      <x:c r="I40" s="49" t="str">
        <x:v>append-only。訂正は無効化＋新イベント</x:v>
      </x:c>
      <x:c r="J40" s="49" t="str">
        <x:v>要確認</x:v>
      </x:c>
    </x:row>
    <x:row r="41">
      <x:c r="A41" s="49" t="str">
        <x:v>EV-037</x:v>
      </x:c>
      <x:c r="B41" s="49" t="str">
        <x:v>meeting_held</x:v>
      </x:c>
      <x:c r="C41" s="49" t="str">
        <x:v>連絡</x:v>
      </x:c>
      <x:c r="D41" s="49" t="str">
        <x:v>会議実施</x:v>
      </x:c>
      <x:c r="E41" s="49" t="str">
        <x:v>Calendar/Notta</x:v>
      </x:c>
      <x:c r="F41" s="49" t="str">
        <x:v>自動候補</x:v>
      </x:c>
      <x:c r="G41" s="49" t="str">
        <x:v>Matter activity</x:v>
      </x:c>
      <x:c r="H41" s="49" t="str">
        <x:v>event_id, occurred_at, captured_at, actor, matter_ref, source_native_id, confidence, review_status</x:v>
      </x:c>
      <x:c r="I41" s="49" t="str">
        <x:v>append-only。訂正は無効化＋新イベント</x:v>
      </x:c>
      <x:c r="J41" s="49" t="str">
        <x:v>要確認</x:v>
      </x:c>
    </x:row>
    <x:row r="42">
      <x:c r="A42" s="49" t="str">
        <x:v>EV-038</x:v>
      </x:c>
      <x:c r="B42" s="49" t="str">
        <x:v>postal_item_received</x:v>
      </x:c>
      <x:c r="C42" s="49" t="str">
        <x:v>連絡</x:v>
      </x:c>
      <x:c r="D42" s="49" t="str">
        <x:v>郵便受領</x:v>
      </x:c>
      <x:c r="E42" s="49" t="str">
        <x:v>SF Postal/Box</x:v>
      </x:c>
      <x:c r="F42" s="49" t="str">
        <x:v>自動/手動</x:v>
      </x:c>
      <x:c r="G42" s="49" t="str">
        <x:v>Matter activity</x:v>
      </x:c>
      <x:c r="H42" s="49" t="str">
        <x:v>event_id, occurred_at, captured_at, actor, matter_ref, source_native_id, confidence, review_status</x:v>
      </x:c>
      <x:c r="I42" s="49" t="str">
        <x:v>append-only。訂正は無効化＋新イベント</x:v>
      </x:c>
      <x:c r="J42" s="49" t="str">
        <x:v>要確認</x:v>
      </x:c>
    </x:row>
    <x:row r="43">
      <x:c r="A43" s="49" t="str">
        <x:v>EV-039</x:v>
      </x:c>
      <x:c r="B43" s="49" t="str">
        <x:v>work_item_created</x:v>
      </x:c>
      <x:c r="C43" s="49" t="str">
        <x:v>作業</x:v>
      </x:c>
      <x:c r="D43" s="49" t="str">
        <x:v>次行動作成</x:v>
      </x:c>
      <x:c r="E43" s="49" t="str">
        <x:v>Salesforce</x:v>
      </x:c>
      <x:c r="F43" s="49" t="str">
        <x:v>自動候補</x:v>
      </x:c>
      <x:c r="G43" s="49" t="str">
        <x:v>WorkItem:open</x:v>
      </x:c>
      <x:c r="H43" s="49" t="str">
        <x:v>event_id, occurred_at, captured_at, actor, matter_ref, source_native_id, confidence, review_status</x:v>
      </x:c>
      <x:c r="I43" s="49" t="str">
        <x:v>append-only。訂正は無効化＋新イベント</x:v>
      </x:c>
      <x:c r="J43" s="49" t="str">
        <x:v>要確認</x:v>
      </x:c>
    </x:row>
    <x:row r="44">
      <x:c r="A44" s="49" t="str">
        <x:v>EV-040</x:v>
      </x:c>
      <x:c r="B44" s="49" t="str">
        <x:v>work_item_started</x:v>
      </x:c>
      <x:c r="C44" s="49" t="str">
        <x:v>作業</x:v>
      </x:c>
      <x:c r="D44" s="49" t="str">
        <x:v>作業開始</x:v>
      </x:c>
      <x:c r="E44" s="49" t="str">
        <x:v>Salesforce/Work log</x:v>
      </x:c>
      <x:c r="F44" s="49" t="str">
        <x:v>任意</x:v>
      </x:c>
      <x:c r="G44" s="49" t="str">
        <x:v>WorkItem:in_progress</x:v>
      </x:c>
      <x:c r="H44" s="49" t="str">
        <x:v>event_id, occurred_at, captured_at, actor, matter_ref, source_native_id, confidence, review_status</x:v>
      </x:c>
      <x:c r="I44" s="49" t="str">
        <x:v>append-only。訂正は無効化＋新イベント</x:v>
      </x:c>
      <x:c r="J44" s="49" t="str">
        <x:v>要確認</x:v>
      </x:c>
    </x:row>
    <x:row r="45">
      <x:c r="A45" s="49" t="str">
        <x:v>EV-041</x:v>
      </x:c>
      <x:c r="B45" s="49" t="str">
        <x:v>work_item_waiting</x:v>
      </x:c>
      <x:c r="C45" s="49" t="str">
        <x:v>作業</x:v>
      </x:c>
      <x:c r="D45" s="49" t="str">
        <x:v>外部/所内待ちへ</x:v>
      </x:c>
      <x:c r="E45" s="49" t="str">
        <x:v>Salesforce</x:v>
      </x:c>
      <x:c r="F45" s="49" t="str">
        <x:v>確認</x:v>
      </x:c>
      <x:c r="G45" s="49" t="str">
        <x:v>WorkItem:waiting</x:v>
      </x:c>
      <x:c r="H45" s="49" t="str">
        <x:v>event_id, occurred_at, captured_at, actor, matter_ref, source_native_id, confidence, review_status</x:v>
      </x:c>
      <x:c r="I45" s="49" t="str">
        <x:v>append-only。訂正は無効化＋新イベント</x:v>
      </x:c>
      <x:c r="J45" s="49" t="str">
        <x:v>要確認</x:v>
      </x:c>
    </x:row>
    <x:row r="46">
      <x:c r="A46" s="49" t="str">
        <x:v>EV-042</x:v>
      </x:c>
      <x:c r="B46" s="49" t="str">
        <x:v>work_item_completed</x:v>
      </x:c>
      <x:c r="C46" s="49" t="str">
        <x:v>作業</x:v>
      </x:c>
      <x:c r="D46" s="49" t="str">
        <x:v>定義した完了条件充足</x:v>
      </x:c>
      <x:c r="E46" s="49" t="str">
        <x:v>Salesforce</x:v>
      </x:c>
      <x:c r="F46" s="49" t="str">
        <x:v>確認</x:v>
      </x:c>
      <x:c r="G46" s="49" t="str">
        <x:v>WorkItem:complete</x:v>
      </x:c>
      <x:c r="H46" s="49" t="str">
        <x:v>event_id, occurred_at, captured_at, actor, matter_ref, source_native_id, confidence, review_status</x:v>
      </x:c>
      <x:c r="I46" s="49" t="str">
        <x:v>append-only。訂正は無効化＋新イベント</x:v>
      </x:c>
      <x:c r="J46" s="49" t="str">
        <x:v>要確認</x:v>
      </x:c>
    </x:row>
    <x:row r="47">
      <x:c r="A47" s="49" t="str">
        <x:v>EV-043</x:v>
      </x:c>
      <x:c r="B47" s="49" t="str">
        <x:v>work_session_recorded</x:v>
      </x:c>
      <x:c r="C47" s="49" t="str">
        <x:v>作業</x:v>
      </x:c>
      <x:c r="D47" s="49" t="str">
        <x:v>観測イベントを作業単位へ束ねる</x:v>
      </x:c>
      <x:c r="E47" s="49" t="str">
        <x:v>Derived DB</x:v>
      </x:c>
      <x:c r="F47" s="49" t="str">
        <x:v>派生</x:v>
      </x:c>
      <x:c r="G47" s="49" t="str">
        <x:v>WorkSession</x:v>
      </x:c>
      <x:c r="H47" s="49" t="str">
        <x:v>event_id, occurred_at, captured_at, actor, matter_ref, source_native_id, confidence, review_status</x:v>
      </x:c>
      <x:c r="I47" s="49" t="str">
        <x:v>append-only。訂正は無効化＋新イベント</x:v>
      </x:c>
      <x:c r="J47" s="49" t="str">
        <x:v>要確認</x:v>
      </x:c>
    </x:row>
    <x:row r="48">
      <x:c r="A48" s="49" t="str">
        <x:v>EV-044</x:v>
      </x:c>
      <x:c r="B48" s="49" t="str">
        <x:v>draft_created</x:v>
      </x:c>
      <x:c r="C48" s="49" t="str">
        <x:v>文書</x:v>
      </x:c>
      <x:c r="D48" s="49" t="str">
        <x:v>ドラフト生成</x:v>
      </x:c>
      <x:c r="E48" s="49" t="str">
        <x:v>Box</x:v>
      </x:c>
      <x:c r="F48" s="49" t="str">
        <x:v>自動</x:v>
      </x:c>
      <x:c r="G48" s="49" t="str">
        <x:v>Document:draft</x:v>
      </x:c>
      <x:c r="H48" s="49" t="str">
        <x:v>event_id, occurred_at, captured_at, actor, matter_ref, source_native_id, confidence, review_status</x:v>
      </x:c>
      <x:c r="I48" s="49" t="str">
        <x:v>append-only。訂正は無効化＋新イベント</x:v>
      </x:c>
      <x:c r="J48" s="49" t="str">
        <x:v>要確認</x:v>
      </x:c>
    </x:row>
    <x:row r="49">
      <x:c r="A49" s="49" t="str">
        <x:v>EV-045</x:v>
      </x:c>
      <x:c r="B49" s="49" t="str">
        <x:v>internal_review_requested</x:v>
      </x:c>
      <x:c r="C49" s="49" t="str">
        <x:v>レビュー</x:v>
      </x:c>
      <x:c r="D49" s="49" t="str">
        <x:v>レビュー依頼</x:v>
      </x:c>
      <x:c r="E49" s="49" t="str">
        <x:v>Salesforce/Box</x:v>
      </x:c>
      <x:c r="F49" s="49" t="str">
        <x:v>自動/手動</x:v>
      </x:c>
      <x:c r="G49" s="49" t="str">
        <x:v>Document:review</x:v>
      </x:c>
      <x:c r="H49" s="49" t="str">
        <x:v>event_id, occurred_at, captured_at, actor, matter_ref, source_native_id, confidence, review_status</x:v>
      </x:c>
      <x:c r="I49" s="49" t="str">
        <x:v>append-only。訂正は無効化＋新イベント</x:v>
      </x:c>
      <x:c r="J49" s="49" t="str">
        <x:v>要確認</x:v>
      </x:c>
    </x:row>
    <x:row r="50">
      <x:c r="A50" s="49" t="str">
        <x:v>EV-046</x:v>
      </x:c>
      <x:c r="B50" s="49" t="str">
        <x:v>internal_review_completed</x:v>
      </x:c>
      <x:c r="C50" s="49" t="str">
        <x:v>レビュー</x:v>
      </x:c>
      <x:c r="D50" s="49" t="str">
        <x:v>承認/手戻り/保留</x:v>
      </x:c>
      <x:c r="E50" s="49" t="str">
        <x:v>Salesforce/Box</x:v>
      </x:c>
      <x:c r="F50" s="49" t="str">
        <x:v>人間必須</x:v>
      </x:c>
      <x:c r="G50" s="49" t="str">
        <x:v>Document:approved/rework</x:v>
      </x:c>
      <x:c r="H50" s="49" t="str">
        <x:v>event_id, occurred_at, captured_at, actor, matter_ref, source_native_id, confidence, review_status</x:v>
      </x:c>
      <x:c r="I50" s="49" t="str">
        <x:v>append-only。訂正は無効化＋新イベント</x:v>
      </x:c>
      <x:c r="J50" s="49" t="str">
        <x:v>要確認</x:v>
      </x:c>
    </x:row>
    <x:row r="51">
      <x:c r="A51" s="49" t="str">
        <x:v>EV-047</x:v>
      </x:c>
      <x:c r="B51" s="49" t="str">
        <x:v>client_review_requested</x:v>
      </x:c>
      <x:c r="C51" s="49" t="str">
        <x:v>レビュー</x:v>
      </x:c>
      <x:c r="D51" s="49" t="str">
        <x:v>顧客確認依頼</x:v>
      </x:c>
      <x:c r="E51" s="49" t="str">
        <x:v>Gmail/Box</x:v>
      </x:c>
      <x:c r="F51" s="49" t="str">
        <x:v>自動証跡</x:v>
      </x:c>
      <x:c r="G51" s="49" t="str">
        <x:v>Document:client_review</x:v>
      </x:c>
      <x:c r="H51" s="49" t="str">
        <x:v>event_id, occurred_at, captured_at, actor, matter_ref, source_native_id, confidence, review_status</x:v>
      </x:c>
      <x:c r="I51" s="49" t="str">
        <x:v>append-only。訂正は無効化＋新イベント</x:v>
      </x:c>
      <x:c r="J51" s="49" t="str">
        <x:v>要確認</x:v>
      </x:c>
    </x:row>
    <x:row r="52">
      <x:c r="A52" s="49" t="str">
        <x:v>EV-048</x:v>
      </x:c>
      <x:c r="B52" s="49" t="str">
        <x:v>client_approval_received</x:v>
      </x:c>
      <x:c r="C52" s="49" t="str">
        <x:v>レビュー</x:v>
      </x:c>
      <x:c r="D52" s="49" t="str">
        <x:v>顧客承認</x:v>
      </x:c>
      <x:c r="E52" s="49" t="str">
        <x:v>Gmail/SF</x:v>
      </x:c>
      <x:c r="F52" s="49" t="str">
        <x:v>確認</x:v>
      </x:c>
      <x:c r="G52" s="49" t="str">
        <x:v>Document:approved</x:v>
      </x:c>
      <x:c r="H52" s="49" t="str">
        <x:v>event_id, occurred_at, captured_at, actor, matter_ref, source_native_id, confidence, review_status</x:v>
      </x:c>
      <x:c r="I52" s="49" t="str">
        <x:v>append-only。訂正は無効化＋新イベント</x:v>
      </x:c>
      <x:c r="J52" s="49" t="str">
        <x:v>要確認</x:v>
      </x:c>
    </x:row>
    <x:row r="53">
      <x:c r="A53" s="49" t="str">
        <x:v>EV-049</x:v>
      </x:c>
      <x:c r="B53" s="49" t="str">
        <x:v>deliverable_sent</x:v>
      </x:c>
      <x:c r="C53" s="49" t="str">
        <x:v>納品</x:v>
      </x:c>
      <x:c r="D53" s="49" t="str">
        <x:v>外部送付</x:v>
      </x:c>
      <x:c r="E53" s="49" t="str">
        <x:v>Gmail/Box/FAX/郵送</x:v>
      </x:c>
      <x:c r="F53" s="49" t="str">
        <x:v>人間承認済</x:v>
      </x:c>
      <x:c r="G53" s="49" t="str">
        <x:v>Document:sent</x:v>
      </x:c>
      <x:c r="H53" s="49" t="str">
        <x:v>event_id, occurred_at, captured_at, actor, matter_ref, source_native_id, confidence, review_status</x:v>
      </x:c>
      <x:c r="I53" s="49" t="str">
        <x:v>append-only。訂正は無効化＋新イベント</x:v>
      </x:c>
      <x:c r="J53" s="49" t="str">
        <x:v>要確認</x:v>
      </x:c>
    </x:row>
    <x:row r="54">
      <x:c r="A54" s="49" t="str">
        <x:v>EV-050</x:v>
      </x:c>
      <x:c r="B54" s="49" t="str">
        <x:v>court_filing_submitted</x:v>
      </x:c>
      <x:c r="C54" s="49" t="str">
        <x:v>提出</x:v>
      </x:c>
      <x:c r="D54" s="49" t="str">
        <x:v>裁判所提出</x:v>
      </x:c>
      <x:c r="E54" s="49" t="str">
        <x:v>MINTS/Teams/FAX/郵送</x:v>
      </x:c>
      <x:c r="F54" s="49" t="str">
        <x:v>人間承認済</x:v>
      </x:c>
      <x:c r="G54" s="49" t="str">
        <x:v>Document:filed</x:v>
      </x:c>
      <x:c r="H54" s="49" t="str">
        <x:v>event_id, occurred_at, captured_at, actor, matter_ref, source_native_id, confidence, review_status</x:v>
      </x:c>
      <x:c r="I54" s="49" t="str">
        <x:v>append-only。訂正は無効化＋新イベント</x:v>
      </x:c>
      <x:c r="J54" s="49" t="str">
        <x:v>要確認</x:v>
      </x:c>
    </x:row>
    <x:row r="55">
      <x:c r="A55" s="49" t="str">
        <x:v>EV-051</x:v>
      </x:c>
      <x:c r="B55" s="49" t="str">
        <x:v>delivery_acknowledged</x:v>
      </x:c>
      <x:c r="C55" s="49" t="str">
        <x:v>納品</x:v>
      </x:c>
      <x:c r="D55" s="49" t="str">
        <x:v>到達/受付/配達確認</x:v>
      </x:c>
      <x:c r="E55" s="49" t="str">
        <x:v>外部証跡</x:v>
      </x:c>
      <x:c r="F55" s="49" t="str">
        <x:v>自動候補</x:v>
      </x:c>
      <x:c r="G55" s="49" t="str">
        <x:v>Document:accepted</x:v>
      </x:c>
      <x:c r="H55" s="49" t="str">
        <x:v>event_id, occurred_at, captured_at, actor, matter_ref, source_native_id, confidence, review_status</x:v>
      </x:c>
      <x:c r="I55" s="49" t="str">
        <x:v>append-only。訂正は無効化＋新イベント</x:v>
      </x:c>
      <x:c r="J55" s="49" t="str">
        <x:v>要確認</x:v>
      </x:c>
    </x:row>
    <x:row r="56">
      <x:c r="A56" s="49" t="str">
        <x:v>EV-052</x:v>
      </x:c>
      <x:c r="B56" s="49" t="str">
        <x:v>deadline_created</x:v>
      </x:c>
      <x:c r="C56" s="49" t="str">
        <x:v>期限</x:v>
      </x:c>
      <x:c r="D56" s="49" t="str">
        <x:v>期限生成</x:v>
      </x:c>
      <x:c r="E56" s="49" t="str">
        <x:v>SF/Calendar</x:v>
      </x:c>
      <x:c r="F56" s="49" t="str">
        <x:v>確認</x:v>
      </x:c>
      <x:c r="G56" s="49" t="str">
        <x:v>Deadline:open</x:v>
      </x:c>
      <x:c r="H56" s="49" t="str">
        <x:v>event_id, occurred_at, captured_at, actor, matter_ref, source_native_id, confidence, review_status</x:v>
      </x:c>
      <x:c r="I56" s="49" t="str">
        <x:v>append-only。訂正は無効化＋新イベント</x:v>
      </x:c>
      <x:c r="J56" s="49" t="str">
        <x:v>要確認</x:v>
      </x:c>
    </x:row>
    <x:row r="57">
      <x:c r="A57" s="49" t="str">
        <x:v>EV-053</x:v>
      </x:c>
      <x:c r="B57" s="49" t="str">
        <x:v>deadline_changed</x:v>
      </x:c>
      <x:c r="C57" s="49" t="str">
        <x:v>期限</x:v>
      </x:c>
      <x:c r="D57" s="49" t="str">
        <x:v>期限変更/延期/取消</x:v>
      </x:c>
      <x:c r="E57" s="49" t="str">
        <x:v>SF/Calendar</x:v>
      </x:c>
      <x:c r="F57" s="49" t="str">
        <x:v>人間確認</x:v>
      </x:c>
      <x:c r="G57" s="49" t="str">
        <x:v>Deadline:updated</x:v>
      </x:c>
      <x:c r="H57" s="49" t="str">
        <x:v>event_id, occurred_at, captured_at, actor, matter_ref, source_native_id, confidence, review_status</x:v>
      </x:c>
      <x:c r="I57" s="49" t="str">
        <x:v>append-only。訂正は無効化＋新イベント</x:v>
      </x:c>
      <x:c r="J57" s="49" t="str">
        <x:v>要確認</x:v>
      </x:c>
    </x:row>
    <x:row r="58">
      <x:c r="A58" s="49" t="str">
        <x:v>EV-054</x:v>
      </x:c>
      <x:c r="B58" s="49" t="str">
        <x:v>deadline_completed</x:v>
      </x:c>
      <x:c r="C58" s="49" t="str">
        <x:v>期限</x:v>
      </x:c>
      <x:c r="D58" s="49" t="str">
        <x:v>期限対応完了</x:v>
      </x:c>
      <x:c r="E58" s="49" t="str">
        <x:v>SF</x:v>
      </x:c>
      <x:c r="F58" s="49" t="str">
        <x:v>人間確認</x:v>
      </x:c>
      <x:c r="G58" s="49" t="str">
        <x:v>Deadline:complete</x:v>
      </x:c>
      <x:c r="H58" s="49" t="str">
        <x:v>event_id, occurred_at, captured_at, actor, matter_ref, source_native_id, confidence, review_status</x:v>
      </x:c>
      <x:c r="I58" s="49" t="str">
        <x:v>append-only。訂正は無効化＋新イベント</x:v>
      </x:c>
      <x:c r="J58" s="49" t="str">
        <x:v>要確認</x:v>
      </x:c>
    </x:row>
    <x:row r="59">
      <x:c r="A59" s="49" t="str">
        <x:v>EV-055</x:v>
      </x:c>
      <x:c r="B59" s="49" t="str">
        <x:v>invoice_created</x:v>
      </x:c>
      <x:c r="C59" s="49" t="str">
        <x:v>財務</x:v>
      </x:c>
      <x:c r="D59" s="49" t="str">
        <x:v>請求書作成</x:v>
      </x:c>
      <x:c r="E59" s="49" t="str">
        <x:v>MF/SF</x:v>
      </x:c>
      <x:c r="F59" s="49" t="str">
        <x:v>自動</x:v>
      </x:c>
      <x:c r="G59" s="49" t="str">
        <x:v>Finance:draft</x:v>
      </x:c>
      <x:c r="H59" s="49" t="str">
        <x:v>event_id, occurred_at, captured_at, actor, matter_ref, source_native_id, confidence, review_status</x:v>
      </x:c>
      <x:c r="I59" s="49" t="str">
        <x:v>append-only。訂正は無効化＋新イベント</x:v>
      </x:c>
      <x:c r="J59" s="49" t="str">
        <x:v>要確認</x:v>
      </x:c>
    </x:row>
    <x:row r="60">
      <x:c r="A60" s="49" t="str">
        <x:v>EV-056</x:v>
      </x:c>
      <x:c r="B60" s="49" t="str">
        <x:v>invoice_sent</x:v>
      </x:c>
      <x:c r="C60" s="49" t="str">
        <x:v>財務</x:v>
      </x:c>
      <x:c r="D60" s="49" t="str">
        <x:v>請求書送付</x:v>
      </x:c>
      <x:c r="E60" s="49" t="str">
        <x:v>MF/Gmail</x:v>
      </x:c>
      <x:c r="F60" s="49" t="str">
        <x:v>自動証跡</x:v>
      </x:c>
      <x:c r="G60" s="49" t="str">
        <x:v>Finance:sent</x:v>
      </x:c>
      <x:c r="H60" s="49" t="str">
        <x:v>event_id, occurred_at, captured_at, actor, matter_ref, source_native_id, confidence, review_status</x:v>
      </x:c>
      <x:c r="I60" s="49" t="str">
        <x:v>append-only。訂正は無効化＋新イベント</x:v>
      </x:c>
      <x:c r="J60" s="49" t="str">
        <x:v>要確認</x:v>
      </x:c>
    </x:row>
    <x:row r="61">
      <x:c r="A61" s="49" t="str">
        <x:v>EV-057</x:v>
      </x:c>
      <x:c r="B61" s="49" t="str">
        <x:v>invoice_overdue</x:v>
      </x:c>
      <x:c r="C61" s="49" t="str">
        <x:v>財務</x:v>
      </x:c>
      <x:c r="D61" s="49" t="str">
        <x:v>支払期限超過</x:v>
      </x:c>
      <x:c r="E61" s="49" t="str">
        <x:v>MF/SF</x:v>
      </x:c>
      <x:c r="F61" s="49" t="str">
        <x:v>自動</x:v>
      </x:c>
      <x:c r="G61" s="49" t="str">
        <x:v>Finance:overdue</x:v>
      </x:c>
      <x:c r="H61" s="49" t="str">
        <x:v>event_id, occurred_at, captured_at, actor, matter_ref, source_native_id, confidence, review_status</x:v>
      </x:c>
      <x:c r="I61" s="49" t="str">
        <x:v>append-only。訂正は無効化＋新イベント</x:v>
      </x:c>
      <x:c r="J61" s="49" t="str">
        <x:v>要確認</x:v>
      </x:c>
    </x:row>
    <x:row r="62">
      <x:c r="A62" s="49" t="str">
        <x:v>EV-058</x:v>
      </x:c>
      <x:c r="B62" s="49" t="str">
        <x:v>trust_deposit_received</x:v>
      </x:c>
      <x:c r="C62" s="49" t="str">
        <x:v>財務</x:v>
      </x:c>
      <x:c r="D62" s="49" t="str">
        <x:v>預り金入金</x:v>
      </x:c>
      <x:c r="E62" s="49" t="str">
        <x:v>SF/MF</x:v>
      </x:c>
      <x:c r="F62" s="49" t="str">
        <x:v>確認</x:v>
      </x:c>
      <x:c r="G62" s="49" t="str">
        <x:v>Trust balance</x:v>
      </x:c>
      <x:c r="H62" s="49" t="str">
        <x:v>event_id, occurred_at, captured_at, actor, matter_ref, source_native_id, confidence, review_status</x:v>
      </x:c>
      <x:c r="I62" s="49" t="str">
        <x:v>append-only。訂正は無効化＋新イベント</x:v>
      </x:c>
      <x:c r="J62" s="49" t="str">
        <x:v>要確認</x:v>
      </x:c>
    </x:row>
    <x:row r="63">
      <x:c r="A63" s="49" t="str">
        <x:v>EV-059</x:v>
      </x:c>
      <x:c r="B63" s="49" t="str">
        <x:v>expense_recorded</x:v>
      </x:c>
      <x:c r="C63" s="49" t="str">
        <x:v>財務</x:v>
      </x:c>
      <x:c r="D63" s="49" t="str">
        <x:v>実費発生</x:v>
      </x:c>
      <x:c r="E63" s="49" t="str">
        <x:v>SF/MF</x:v>
      </x:c>
      <x:c r="F63" s="49" t="str">
        <x:v>確認</x:v>
      </x:c>
      <x:c r="G63" s="49" t="str">
        <x:v>Expense</x:v>
      </x:c>
      <x:c r="H63" s="49" t="str">
        <x:v>event_id, occurred_at, captured_at, actor, matter_ref, source_native_id, confidence, review_status</x:v>
      </x:c>
      <x:c r="I63" s="49" t="str">
        <x:v>append-only。訂正は無効化＋新イベント</x:v>
      </x:c>
      <x:c r="J63" s="49" t="str">
        <x:v>要確認</x:v>
      </x:c>
    </x:row>
    <x:row r="64">
      <x:c r="A64" s="49" t="str">
        <x:v>EV-060</x:v>
      </x:c>
      <x:c r="B64" s="49" t="str">
        <x:v>trust_refund_sent</x:v>
      </x:c>
      <x:c r="C64" s="49" t="str">
        <x:v>財務</x:v>
      </x:c>
      <x:c r="D64" s="49" t="str">
        <x:v>返金実行</x:v>
      </x:c>
      <x:c r="E64" s="49" t="str">
        <x:v>SF/MF/Bank</x:v>
      </x:c>
      <x:c r="F64" s="49" t="str">
        <x:v>人間必須</x:v>
      </x:c>
      <x:c r="G64" s="49" t="str">
        <x:v>Trust:reconciled</x:v>
      </x:c>
      <x:c r="H64" s="49" t="str">
        <x:v>event_id, occurred_at, captured_at, actor, matter_ref, source_native_id, confidence, review_status</x:v>
      </x:c>
      <x:c r="I64" s="49" t="str">
        <x:v>append-only。訂正は無効化＋新イベント</x:v>
      </x:c>
      <x:c r="J64" s="49" t="str">
        <x:v>要確認</x:v>
      </x:c>
    </x:row>
    <x:row r="65">
      <x:c r="A65" s="49" t="str">
        <x:v>EV-061</x:v>
      </x:c>
      <x:c r="B65" s="49" t="str">
        <x:v>scope_change_detected</x:v>
      </x:c>
      <x:c r="C65" s="49" t="str">
        <x:v>契約変更</x:v>
      </x:c>
      <x:c r="D65" s="49" t="str">
        <x:v>委任範囲変更候補</x:v>
      </x:c>
      <x:c r="E65" s="49" t="str">
        <x:v>Gmail/Meeting/SF</x:v>
      </x:c>
      <x:c r="F65" s="49" t="str">
        <x:v>HITL</x:v>
      </x:c>
      <x:c r="G65" s="49" t="str">
        <x:v>Proposal change</x:v>
      </x:c>
      <x:c r="H65" s="49" t="str">
        <x:v>event_id, occurred_at, captured_at, actor, matter_ref, source_native_id, confidence, review_status</x:v>
      </x:c>
      <x:c r="I65" s="49" t="str">
        <x:v>append-only。訂正は無効化＋新イベント</x:v>
      </x:c>
      <x:c r="J65" s="49" t="str">
        <x:v>要確認</x:v>
      </x:c>
    </x:row>
    <x:row r="66">
      <x:c r="A66" s="49" t="str">
        <x:v>EV-062</x:v>
      </x:c>
      <x:c r="B66" s="49" t="str">
        <x:v>outcome_reached</x:v>
      </x:c>
      <x:c r="C66" s="49" t="str">
        <x:v>解決</x:v>
      </x:c>
      <x:c r="D66" s="49" t="str">
        <x:v>和解/判決/履行/完了</x:v>
      </x:c>
      <x:c r="E66" s="49" t="str">
        <x:v>Box/SF</x:v>
      </x:c>
      <x:c r="F66" s="49" t="str">
        <x:v>人間必須</x:v>
      </x:c>
      <x:c r="G66" s="49" t="str">
        <x:v>Matter:resolution_pending</x:v>
      </x:c>
      <x:c r="H66" s="49" t="str">
        <x:v>event_id, occurred_at, captured_at, actor, matter_ref, source_native_id, confidence, review_status</x:v>
      </x:c>
      <x:c r="I66" s="49" t="str">
        <x:v>append-only。訂正は無効化＋新イベント</x:v>
      </x:c>
      <x:c r="J66" s="49" t="str">
        <x:v>要確認</x:v>
      </x:c>
    </x:row>
    <x:row r="67">
      <x:c r="A67" s="49" t="str">
        <x:v>EV-063</x:v>
      </x:c>
      <x:c r="B67" s="49" t="str">
        <x:v>closing_authorized</x:v>
      </x:c>
      <x:c r="C67" s="49" t="str">
        <x:v>終結</x:v>
      </x:c>
      <x:c r="D67" s="49" t="str">
        <x:v>終結開始承認</x:v>
      </x:c>
      <x:c r="E67" s="49" t="str">
        <x:v>Salesforce</x:v>
      </x:c>
      <x:c r="F67" s="49" t="str">
        <x:v>人間必須</x:v>
      </x:c>
      <x:c r="G67" s="49" t="str">
        <x:v>Matter:closing</x:v>
      </x:c>
      <x:c r="H67" s="49" t="str">
        <x:v>event_id, occurred_at, captured_at, actor, matter_ref, source_native_id, confidence, review_status</x:v>
      </x:c>
      <x:c r="I67" s="49" t="str">
        <x:v>append-only。訂正は無効化＋新イベント</x:v>
      </x:c>
      <x:c r="J67" s="49" t="str">
        <x:v>要確認</x:v>
      </x:c>
    </x:row>
    <x:row r="68">
      <x:c r="A68" s="49" t="str">
        <x:v>EV-064</x:v>
      </x:c>
      <x:c r="B68" s="49" t="str">
        <x:v>financial_reconciliation_completed</x:v>
      </x:c>
      <x:c r="C68" s="49" t="str">
        <x:v>終結</x:v>
      </x:c>
      <x:c r="D68" s="49" t="str">
        <x:v>請求・預り金・実費・未収確認</x:v>
      </x:c>
      <x:c r="E68" s="49" t="str">
        <x:v>SF/MF</x:v>
      </x:c>
      <x:c r="F68" s="49" t="str">
        <x:v>人間必須</x:v>
      </x:c>
      <x:c r="G68" s="49" t="str">
        <x:v>Closing gate passed</x:v>
      </x:c>
      <x:c r="H68" s="49" t="str">
        <x:v>event_id, occurred_at, captured_at, actor, matter_ref, source_native_id, confidence, review_status</x:v>
      </x:c>
      <x:c r="I68" s="49" t="str">
        <x:v>append-only。訂正は無効化＋新イベント</x:v>
      </x:c>
      <x:c r="J68" s="49" t="str">
        <x:v>要確認</x:v>
      </x:c>
    </x:row>
    <x:row r="69">
      <x:c r="A69" s="49" t="str">
        <x:v>EV-065</x:v>
      </x:c>
      <x:c r="B69" s="49" t="str">
        <x:v>originals_returned</x:v>
      </x:c>
      <x:c r="C69" s="49" t="str">
        <x:v>終結</x:v>
      </x:c>
      <x:c r="D69" s="49" t="str">
        <x:v>原本/預かり物返却</x:v>
      </x:c>
      <x:c r="E69" s="49" t="str">
        <x:v>SF/Box/Postal</x:v>
      </x:c>
      <x:c r="F69" s="49" t="str">
        <x:v>確認</x:v>
      </x:c>
      <x:c r="G69" s="49" t="str">
        <x:v>Closing gate passed</x:v>
      </x:c>
      <x:c r="H69" s="49" t="str">
        <x:v>event_id, occurred_at, captured_at, actor, matter_ref, source_native_id, confidence, review_status</x:v>
      </x:c>
      <x:c r="I69" s="49" t="str">
        <x:v>append-only。訂正は無効化＋新イベント</x:v>
      </x:c>
      <x:c r="J69" s="49" t="str">
        <x:v>要確認</x:v>
      </x:c>
    </x:row>
    <x:row r="70">
      <x:c r="A70" s="49" t="str">
        <x:v>EV-066</x:v>
      </x:c>
      <x:c r="B70" s="49" t="str">
        <x:v>closing_report_sent</x:v>
      </x:c>
      <x:c r="C70" s="49" t="str">
        <x:v>終結</x:v>
      </x:c>
      <x:c r="D70" s="49" t="str">
        <x:v>終了報告パック送付</x:v>
      </x:c>
      <x:c r="E70" s="49" t="str">
        <x:v>Gmail/Postal/Box</x:v>
      </x:c>
      <x:c r="F70" s="49" t="str">
        <x:v>自動証跡</x:v>
      </x:c>
      <x:c r="G70" s="49" t="str">
        <x:v>Matter:closing</x:v>
      </x:c>
      <x:c r="H70" s="49" t="str">
        <x:v>event_id, occurred_at, captured_at, actor, matter_ref, source_native_id, confidence, review_status</x:v>
      </x:c>
      <x:c r="I70" s="49" t="str">
        <x:v>append-only。訂正は無効化＋新イベント</x:v>
      </x:c>
      <x:c r="J70" s="49" t="str">
        <x:v>要確認</x:v>
      </x:c>
    </x:row>
    <x:row r="71">
      <x:c r="A71" s="49" t="str">
        <x:v>EV-067</x:v>
      </x:c>
      <x:c r="B71" s="49" t="str">
        <x:v>closing_ack_received</x:v>
      </x:c>
      <x:c r="C71" s="49" t="str">
        <x:v>終結</x:v>
      </x:c>
      <x:c r="D71" s="49" t="str">
        <x:v>依頼者受領確認</x:v>
      </x:c>
      <x:c r="E71" s="49" t="str">
        <x:v>Gmail/Postal</x:v>
      </x:c>
      <x:c r="F71" s="49" t="str">
        <x:v>確認</x:v>
      </x:c>
      <x:c r="G71" s="49" t="str">
        <x:v>Closing gate passed</x:v>
      </x:c>
      <x:c r="H71" s="49" t="str">
        <x:v>event_id, occurred_at, captured_at, actor, matter_ref, source_native_id, confidence, review_status</x:v>
      </x:c>
      <x:c r="I71" s="49" t="str">
        <x:v>append-only。訂正は無効化＋新イベント</x:v>
      </x:c>
      <x:c r="J71" s="49" t="str">
        <x:v>要確認</x:v>
      </x:c>
    </x:row>
    <x:row r="72">
      <x:c r="A72" s="49" t="str">
        <x:v>EV-068</x:v>
      </x:c>
      <x:c r="B72" s="49" t="str">
        <x:v>matter_closed</x:v>
      </x:c>
      <x:c r="C72" s="49" t="str">
        <x:v>終結</x:v>
      </x:c>
      <x:c r="D72" s="49" t="str">
        <x:v>SF終結・既済化</x:v>
      </x:c>
      <x:c r="E72" s="49" t="str">
        <x:v>SF/Box</x:v>
      </x:c>
      <x:c r="F72" s="49" t="str">
        <x:v>人間必須</x:v>
      </x:c>
      <x:c r="G72" s="49" t="str">
        <x:v>Matter:closed</x:v>
      </x:c>
      <x:c r="H72" s="49" t="str">
        <x:v>event_id, occurred_at, captured_at, actor, matter_ref, source_native_id, confidence, review_status</x:v>
      </x:c>
      <x:c r="I72" s="49" t="str">
        <x:v>append-only。訂正は無効化＋新イベント</x:v>
      </x:c>
      <x:c r="J72" s="49" t="str">
        <x:v>要確認</x:v>
      </x:c>
    </x:row>
    <x:row r="73">
      <x:c r="A73" s="49" t="str">
        <x:v>EV-069</x:v>
      </x:c>
      <x:c r="B73" s="49" t="str">
        <x:v>knowledge_summary_promoted</x:v>
      </x:c>
      <x:c r="C73" s="49" t="str">
        <x:v>知識化</x:v>
      </x:c>
      <x:c r="D73" s="49" t="str">
        <x:v>匿名化サマリー/ひな形昇格</x:v>
      </x:c>
      <x:c r="E73" s="49" t="str">
        <x:v>ALO KB/Box</x:v>
      </x:c>
      <x:c r="F73" s="49" t="str">
        <x:v>人間必須</x:v>
      </x:c>
      <x:c r="G73" s="49" t="str">
        <x:v>Knowledge:published</x:v>
      </x:c>
      <x:c r="H73" s="49" t="str">
        <x:v>event_id, occurred_at, captured_at, actor, matter_ref, source_native_id, confidence, review_status</x:v>
      </x:c>
      <x:c r="I73" s="49" t="str">
        <x:v>append-only。訂正は無効化＋新イベント</x:v>
      </x:c>
      <x:c r="J73" s="49" t="str">
        <x:v>要確認</x:v>
      </x:c>
    </x:row>
    <x:row r="74">
      <x:c r="A74" s="49" t="str">
        <x:v>EV-070</x:v>
      </x:c>
      <x:c r="B74" s="49" t="str">
        <x:v>link_correction_recorded</x:v>
      </x:c>
      <x:c r="C74" s="49" t="str">
        <x:v>品質</x:v>
      </x:c>
      <x:c r="D74" s="49" t="str">
        <x:v>誤紐付けを無効化し再紐付け</x:v>
      </x:c>
      <x:c r="E74" s="49" t="str">
        <x:v>Derived DB/SF</x:v>
      </x:c>
      <x:c r="F74" s="49" t="str">
        <x:v>人間確認</x:v>
      </x:c>
      <x:c r="G74" s="49" t="str">
        <x:v>Audit correction</x:v>
      </x:c>
      <x:c r="H74" s="49" t="str">
        <x:v>event_id, occurred_at, captured_at, actor, matter_ref, source_native_id, confidence, review_status</x:v>
      </x:c>
      <x:c r="I74" s="49" t="str">
        <x:v>append-only。訂正は無効化＋新イベント</x:v>
      </x:c>
      <x:c r="J74" s="49" t="str">
        <x:v>要確認</x:v>
      </x:c>
    </x:row>
    <x:row r="75">
      <x:c r="A75" s="49" t="str">
        <x:v>EV-071</x:v>
      </x:c>
      <x:c r="B75" s="49" t="str">
        <x:v>incident_reported</x:v>
      </x:c>
      <x:c r="C75" s="49" t="str">
        <x:v>品質</x:v>
      </x:c>
      <x:c r="D75" s="49" t="str">
        <x:v>期限/誤送信/情報漏えい等</x:v>
      </x:c>
      <x:c r="E75" s="49" t="str">
        <x:v>Incident log</x:v>
      </x:c>
      <x:c r="F75" s="49" t="str">
        <x:v>人間必須</x:v>
      </x:c>
      <x:c r="G75" s="49" t="str">
        <x:v>Incident:open</x:v>
      </x:c>
      <x:c r="H75" s="49" t="str">
        <x:v>event_id, occurred_at, captured_at, actor, matter_ref, source_native_id, confidence, review_status</x:v>
      </x:c>
      <x:c r="I75" s="49" t="str">
        <x:v>append-only。訂正は無効化＋新イベント</x:v>
      </x:c>
      <x:c r="J75" s="49" t="str">
        <x:v>要確認</x:v>
      </x:c>
    </x:row>
    <x:row r="76">
      <x:c r="A76" s="49" t="str">
        <x:v>EV-072</x:v>
      </x:c>
      <x:c r="B76" s="49" t="str">
        <x:v>automation_failure_detected</x:v>
      </x:c>
      <x:c r="C76" s="49" t="str">
        <x:v>運用</x:v>
      </x:c>
      <x:c r="D76" s="49" t="str">
        <x:v>自動化停止/遅延</x:v>
      </x:c>
      <x:c r="E76" s="49" t="str">
        <x:v>Monitor</x:v>
      </x:c>
      <x:c r="F76" s="49" t="str">
        <x:v>自動</x:v>
      </x:c>
      <x:c r="G76" s="49" t="str">
        <x:v>Fallback task</x:v>
      </x:c>
      <x:c r="H76" s="49" t="str">
        <x:v>event_id, occurred_at, captured_at, actor, matter_ref, source_native_id, confidence, review_status</x:v>
      </x:c>
      <x:c r="I76" s="49" t="str">
        <x:v>append-only。訂正は無効化＋新イベント</x:v>
      </x:c>
      <x:c r="J76" s="49" t="str">
        <x:v>要確認</x:v>
      </x:c>
    </x:row>
  </x:sheetData>
  <x:mergeCells>
    <x:mergeCell ref="A1:J1"/>
    <x:mergeCell ref="A2:J2"/>
  </x:mergeCells>
  <x:dataValidations count="1">
    <x:dataValidation type="list" sqref="J5:J104">
      <x:formula1>"要確認,確認済,修正要,対象外"</x:formula1>
    </x:dataValidation>
  </x:dataValidations>
  <x:pageMargins left="0.7" right="0.7" top="0.75" bottom="0.75" header="0.3" footer="0.3"/>
  <x:tableParts count="1">
    <x:tablePart xmlns:r="http://schemas.openxmlformats.org/officeDocument/2006/relationships" r:id="R1e6fa201251c44d3"/>
  </x:tableParts>
</x:worksheet>
</file>

<file path=xl/worksheets/sheet7.xml><?xml version="1.0" encoding="utf-8"?>
<x:worksheet xmlns:x="http://schemas.openxmlformats.org/spreadsheetml/2006/main">
  <x:sheetFormatPr defaultRowHeight="15"/>
  <x:cols>
    <x:col min="1" max="1" width="16" hidden="0" customWidth="1"/>
    <x:col min="2" max="2" width="25" hidden="0" customWidth="1"/>
    <x:col min="3" max="3" width="22" hidden="0" customWidth="1"/>
    <x:col min="4" max="4" width="32" hidden="0" customWidth="1"/>
    <x:col min="5" max="5" width="38" hidden="0" customWidth="1"/>
    <x:col min="6" max="6" width="48" hidden="0" customWidth="1"/>
  </x:cols>
  <x:sheetData>
    <x:row r="1" ht="30" customHeight="1">
      <x:c r="A1" s="5" t="str">
        <x:v>状態機械・遷移仮説</x:v>
      </x:c>
      <x:c r="B1" s="5"/>
      <x:c r="C1" s="5"/>
      <x:c r="D1" s="5"/>
      <x:c r="E1" s="5"/>
      <x:c r="F1" s="5"/>
    </x:row>
    <x:row r="2" ht="32" customHeight="1">
      <x:c r="A2" s="13" t="str">
        <x:v>案件1列ではなく、相談、案件、作業、文書、財務を分離する。画面では統合表示しても、内部データは独立した状態遷移履歴を持つ。</x:v>
      </x:c>
      <x:c r="B2" s="13"/>
      <x:c r="C2" s="13"/>
      <x:c r="D2" s="13"/>
      <x:c r="E2" s="13"/>
      <x:c r="F2" s="13"/>
    </x:row>
    <x:row r="4" ht="30" customHeight="1">
      <x:c r="A4" s="42" t="str">
        <x:v>状態機械</x:v>
      </x:c>
      <x:c r="B4" s="42" t="str">
        <x:v>状態コード</x:v>
      </x:c>
      <x:c r="C4" s="42" t="str">
        <x:v>表示名</x:v>
      </x:c>
      <x:c r="D4" s="42" t="str">
        <x:v>主トリガー</x:v>
      </x:c>
      <x:c r="E4" s="42" t="str">
        <x:v>遷移先候補</x:v>
      </x:c>
      <x:c r="F4" s="42" t="str">
        <x:v>成立条件/注意</x:v>
      </x:c>
    </x:row>
    <x:row r="5">
      <x:c r="A5" s="49" t="str">
        <x:v>Consultation</x:v>
      </x:c>
      <x:c r="B5" s="49" t="str">
        <x:v>new</x:v>
      </x:c>
      <x:c r="C5" s="49" t="str">
        <x:v>新規候補</x:v>
      </x:c>
      <x:c r="D5" s="49" t="str">
        <x:v>inquiry_received</x:v>
      </x:c>
      <x:c r="E5" s="49" t="str">
        <x:v>triage/conflict_pending/closed_noise</x:v>
      </x:c>
      <x:c r="F5" s="49" t="str">
        <x:v>相談候補作成済み</x:v>
      </x:c>
    </x:row>
    <x:row r="6">
      <x:c r="A6" s="49" t="str">
        <x:v>Consultation</x:v>
      </x:c>
      <x:c r="B6" s="49" t="str">
        <x:v>inquiry</x:v>
      </x:c>
      <x:c r="C6" s="49" t="str">
        <x:v>受付済</x:v>
      </x:c>
      <x:c r="D6" s="49" t="str">
        <x:v>consultation_candidate_created</x:v>
      </x:c>
      <x:c r="E6" s="49" t="str">
        <x:v>identity_checked/conflict_pending/closed</x:v>
      </x:c>
      <x:c r="F6" s="49" t="str">
        <x:v>最低限情報あり</x:v>
      </x:c>
    </x:row>
    <x:row r="7">
      <x:c r="A7" s="49" t="str">
        <x:v>Consultation</x:v>
      </x:c>
      <x:c r="B7" s="49" t="str">
        <x:v>identity_checked</x:v>
      </x:c>
      <x:c r="C7" s="49" t="str">
        <x:v>本人関係確認済</x:v>
      </x:c>
      <x:c r="D7" s="49" t="str">
        <x:v>safe_contact_confirmed/party_identified</x:v>
      </x:c>
      <x:c r="E7" s="49" t="str">
        <x:v>conflict_pending</x:v>
      </x:c>
      <x:c r="F7" s="49" t="str">
        <x:v>安全連絡・当事者候補あり</x:v>
      </x:c>
    </x:row>
    <x:row r="8">
      <x:c r="A8" s="49" t="str">
        <x:v>Consultation</x:v>
      </x:c>
      <x:c r="B8" s="49" t="str">
        <x:v>conflict_pending</x:v>
      </x:c>
      <x:c r="C8" s="49" t="str">
        <x:v>コンフリ中</x:v>
      </x:c>
      <x:c r="D8" s="49" t="str">
        <x:v>conflict_check_requested</x:v>
      </x:c>
      <x:c r="E8" s="49" t="str">
        <x:v>conflict_pass/conflict_fail/conflict_escalate</x:v>
      </x:c>
      <x:c r="F8" s="49" t="str">
        <x:v>結果待ち</x:v>
      </x:c>
    </x:row>
    <x:row r="9">
      <x:c r="A9" s="49" t="str">
        <x:v>Consultation</x:v>
      </x:c>
      <x:c r="B9" s="49" t="str">
        <x:v>conflict_pass</x:v>
      </x:c>
      <x:c r="C9" s="49" t="str">
        <x:v>コンフリ通過</x:v>
      </x:c>
      <x:c r="D9" s="49" t="str">
        <x:v>conflict_check_completed</x:v>
      </x:c>
      <x:c r="E9" s="49" t="str">
        <x:v>triaged/scheduling</x:v>
      </x:c>
      <x:c r="F9" s="49" t="str">
        <x:v>人間承認済み</x:v>
      </x:c>
    </x:row>
    <x:row r="10">
      <x:c r="A10" s="49" t="str">
        <x:v>Consultation</x:v>
      </x:c>
      <x:c r="B10" s="49" t="str">
        <x:v>conflict_fail</x:v>
      </x:c>
      <x:c r="C10" s="49" t="str">
        <x:v>受任不可</x:v>
      </x:c>
      <x:c r="D10" s="49" t="str">
        <x:v>conflict_check_completed</x:v>
      </x:c>
      <x:c r="E10" s="49" t="str">
        <x:v>closed</x:v>
      </x:c>
      <x:c r="F10" s="49" t="str">
        <x:v>理由・証跡必須</x:v>
      </x:c>
    </x:row>
    <x:row r="11">
      <x:c r="A11" s="49" t="str">
        <x:v>Consultation</x:v>
      </x:c>
      <x:c r="B11" s="49" t="str">
        <x:v>triaged</x:v>
      </x:c>
      <x:c r="C11" s="49" t="str">
        <x:v>受入判断済</x:v>
      </x:c>
      <x:c r="D11" s="49" t="str">
        <x:v>triage_completed</x:v>
      </x:c>
      <x:c r="E11" s="49" t="str">
        <x:v>scheduling/referred/closed</x:v>
      </x:c>
      <x:c r="F11" s="49" t="str">
        <x:v>相談可否決定</x:v>
      </x:c>
    </x:row>
    <x:row r="12">
      <x:c r="A12" s="49" t="str">
        <x:v>Consultation</x:v>
      </x:c>
      <x:c r="B12" s="49" t="str">
        <x:v>scheduling</x:v>
      </x:c>
      <x:c r="C12" s="49" t="str">
        <x:v>日程調整中</x:v>
      </x:c>
      <x:c r="D12" s="49" t="str">
        <x:v>date_options_sent</x:v>
      </x:c>
      <x:c r="E12" s="49" t="str">
        <x:v>scheduled/closed</x:v>
      </x:c>
      <x:c r="F12" s="49" t="str">
        <x:v>候補提示済</x:v>
      </x:c>
    </x:row>
    <x:row r="13">
      <x:c r="A13" s="49" t="str">
        <x:v>Consultation</x:v>
      </x:c>
      <x:c r="B13" s="49" t="str">
        <x:v>scheduled</x:v>
      </x:c>
      <x:c r="C13" s="49" t="str">
        <x:v>相談確定</x:v>
      </x:c>
      <x:c r="D13" s="49" t="str">
        <x:v>consultation_scheduled</x:v>
      </x:c>
      <x:c r="E13" s="49" t="str">
        <x:v>in_progress/cancelled/no_show</x:v>
      </x:c>
      <x:c r="F13" s="49" t="str">
        <x:v>日時・方法・参加者</x:v>
      </x:c>
    </x:row>
    <x:row r="14">
      <x:c r="A14" s="49" t="str">
        <x:v>Consultation</x:v>
      </x:c>
      <x:c r="B14" s="49" t="str">
        <x:v>consulted</x:v>
      </x:c>
      <x:c r="C14" s="49" t="str">
        <x:v>相談完了</x:v>
      </x:c>
      <x:c r="D14" s="49" t="str">
        <x:v>consultation_completed</x:v>
      </x:c>
      <x:c r="E14" s="49" t="str">
        <x:v>followup/proposal_pending/continued/closed</x:v>
      </x:c>
      <x:c r="F14" s="49" t="str">
        <x:v>相談記録あり</x:v>
      </x:c>
    </x:row>
    <x:row r="15">
      <x:c r="A15" s="49" t="str">
        <x:v>Consultation</x:v>
      </x:c>
      <x:c r="B15" s="49" t="str">
        <x:v>followup</x:v>
      </x:c>
      <x:c r="C15" s="49" t="str">
        <x:v>受任前追加対応</x:v>
      </x:c>
      <x:c r="D15" s="49" t="str">
        <x:v>followup_question_received</x:v>
      </x:c>
      <x:c r="E15" s="49" t="str">
        <x:v>proposal_pending/continued/closed</x:v>
      </x:c>
      <x:c r="F15" s="49" t="str">
        <x:v>範囲と費用境界要確認</x:v>
      </x:c>
    </x:row>
    <x:row r="16">
      <x:c r="A16" s="49" t="str">
        <x:v>Consultation</x:v>
      </x:c>
      <x:c r="B16" s="49" t="str">
        <x:v>proposal_pending</x:v>
      </x:c>
      <x:c r="C16" s="49" t="str">
        <x:v>提案作成中</x:v>
      </x:c>
      <x:c r="D16" s="49" t="str">
        <x:v>post_consult_decision/quote_requested</x:v>
      </x:c>
      <x:c r="E16" s="49" t="str">
        <x:v>proposal_sent/closed</x:v>
      </x:c>
      <x:c r="F16" s="49" t="str">
        <x:v>作業owner/due必須</x:v>
      </x:c>
    </x:row>
    <x:row r="17">
      <x:c r="A17" s="49" t="str">
        <x:v>Consultation</x:v>
      </x:c>
      <x:c r="B17" s="49" t="str">
        <x:v>proposal_sent</x:v>
      </x:c>
      <x:c r="C17" s="49" t="str">
        <x:v>提案送付済</x:v>
      </x:c>
      <x:c r="D17" s="49" t="str">
        <x:v>proposal_sent</x:v>
      </x:c>
      <x:c r="E17" s="49" t="str">
        <x:v>decision_pending/engagement_pending/closed_lost</x:v>
      </x:c>
      <x:c r="F17" s="49" t="str">
        <x:v>送付版固定</x:v>
      </x:c>
    </x:row>
    <x:row r="18">
      <x:c r="A18" s="49" t="str">
        <x:v>Consultation</x:v>
      </x:c>
      <x:c r="B18" s="49" t="str">
        <x:v>decision_pending</x:v>
      </x:c>
      <x:c r="C18" s="49" t="str">
        <x:v>顧客判断待ち</x:v>
      </x:c>
      <x:c r="D18" s="49" t="str">
        <x:v>proposal_sent/followup</x:v>
      </x:c>
      <x:c r="E18" s="49" t="str">
        <x:v>engagement_pending/closed_lost/hold</x:v>
      </x:c>
      <x:c r="F18" s="49" t="str">
        <x:v>next followup必須</x:v>
      </x:c>
    </x:row>
    <x:row r="19">
      <x:c r="A19" s="49" t="str">
        <x:v>Consultation</x:v>
      </x:c>
      <x:c r="B19" s="49" t="str">
        <x:v>engagement_pending</x:v>
      </x:c>
      <x:c r="C19" s="49" t="str">
        <x:v>契約成立処理中</x:v>
      </x:c>
      <x:c r="D19" s="49" t="str">
        <x:v>proposal_accepted</x:v>
      </x:c>
      <x:c r="E19" s="49" t="str">
        <x:v>converted/closed_lost</x:v>
      </x:c>
      <x:c r="F19" s="49" t="str">
        <x:v>署名・入金条件確認</x:v>
      </x:c>
    </x:row>
    <x:row r="20">
      <x:c r="A20" s="49" t="str">
        <x:v>Consultation</x:v>
      </x:c>
      <x:c r="B20" s="49" t="str">
        <x:v>converted</x:v>
      </x:c>
      <x:c r="C20" s="49" t="str">
        <x:v>受任案件へ変換</x:v>
      </x:c>
      <x:c r="D20" s="49" t="str">
        <x:v>matter_opened</x:v>
      </x:c>
      <x:c r="E20" s="49" t="str">
        <x:v>—</x:v>
      </x:c>
      <x:c r="F20" s="49" t="str">
        <x:v>source matter link必須</x:v>
      </x:c>
    </x:row>
    <x:row r="21">
      <x:c r="A21" s="49" t="str">
        <x:v>Consultation</x:v>
      </x:c>
      <x:c r="B21" s="49" t="str">
        <x:v>closed_lost</x:v>
      </x:c>
      <x:c r="C21" s="49" t="str">
        <x:v>非受任終結</x:v>
      </x:c>
      <x:c r="D21" s="49" t="str">
        <x:v>proposal_rejected/no response</x:v>
      </x:c>
      <x:c r="E21" s="49" t="str">
        <x:v>reopened</x:v>
      </x:c>
      <x:c r="F21" s="49" t="str">
        <x:v>理由・日付必須</x:v>
      </x:c>
    </x:row>
    <x:row r="22">
      <x:c r="A22" s="49" t="str">
        <x:v>Matter</x:v>
      </x:c>
      <x:c r="B22" s="49" t="str">
        <x:v>onboarding</x:v>
      </x:c>
      <x:c r="C22" s="49" t="str">
        <x:v>開設処理中</x:v>
      </x:c>
      <x:c r="D22" s="49" t="str">
        <x:v>consultation_converted/matter_workspace_created</x:v>
      </x:c>
      <x:c r="E22" s="49" t="str">
        <x:v>active/blocked</x:v>
      </x:c>
      <x:c r="F22" s="49" t="str">
        <x:v>担当・Box・契約・請求</x:v>
      </x:c>
    </x:row>
    <x:row r="23">
      <x:c r="A23" s="49" t="str">
        <x:v>Matter</x:v>
      </x:c>
      <x:c r="B23" s="49" t="str">
        <x:v>active</x:v>
      </x:c>
      <x:c r="C23" s="49" t="str">
        <x:v>能動遂行中</x:v>
      </x:c>
      <x:c r="D23" s="49" t="str">
        <x:v>matter_plan_approved/work_item</x:v>
      </x:c>
      <x:c r="E23" s="49" t="str">
        <x:v>drafting/waiting/review/filing/resolution_pending</x:v>
      </x:c>
      <x:c r="F23" s="49" t="str">
        <x:v>next action必須</x:v>
      </x:c>
    </x:row>
    <x:row r="24">
      <x:c r="A24" s="49" t="str">
        <x:v>Matter</x:v>
      </x:c>
      <x:c r="B24" s="49" t="str">
        <x:v>waiting_client</x:v>
      </x:c>
      <x:c r="C24" s="49" t="str">
        <x:v>依頼者待ち</x:v>
      </x:c>
      <x:c r="D24" s="49" t="str">
        <x:v>work_item_waiting</x:v>
      </x:c>
      <x:c r="E24" s="49" t="str">
        <x:v>active/closing</x:v>
      </x:c>
      <x:c r="F24" s="49" t="str">
        <x:v>waiting_on・期限必須</x:v>
      </x:c>
    </x:row>
    <x:row r="25">
      <x:c r="A25" s="49" t="str">
        <x:v>Matter</x:v>
      </x:c>
      <x:c r="B25" s="49" t="str">
        <x:v>waiting_opponent</x:v>
      </x:c>
      <x:c r="C25" s="49" t="str">
        <x:v>相手方待ち</x:v>
      </x:c>
      <x:c r="D25" s="49" t="str">
        <x:v>work_item_waiting</x:v>
      </x:c>
      <x:c r="E25" s="49" t="str">
        <x:v>active/resolution_pending</x:v>
      </x:c>
      <x:c r="F25" s="49" t="str">
        <x:v>waiting_on・期限必須</x:v>
      </x:c>
    </x:row>
    <x:row r="26">
      <x:c r="A26" s="49" t="str">
        <x:v>Matter</x:v>
      </x:c>
      <x:c r="B26" s="49" t="str">
        <x:v>waiting_court</x:v>
      </x:c>
      <x:c r="C26" s="49" t="str">
        <x:v>裁判所待ち</x:v>
      </x:c>
      <x:c r="D26" s="49" t="str">
        <x:v>filing/meeting</x:v>
      </x:c>
      <x:c r="E26" s="49" t="str">
        <x:v>active/resolution_pending</x:v>
      </x:c>
      <x:c r="F26" s="49" t="str">
        <x:v>次期日/期限必須</x:v>
      </x:c>
    </x:row>
    <x:row r="27">
      <x:c r="A27" s="49" t="str">
        <x:v>Matter</x:v>
      </x:c>
      <x:c r="B27" s="49" t="str">
        <x:v>drafting</x:v>
      </x:c>
      <x:c r="C27" s="49" t="str">
        <x:v>起案/調査中</x:v>
      </x:c>
      <x:c r="D27" s="49" t="str">
        <x:v>work_item_started/draft_created</x:v>
      </x:c>
      <x:c r="E27" s="49" t="str">
        <x:v>review/waiting/active</x:v>
      </x:c>
      <x:c r="F27" s="49" t="str">
        <x:v>work item必須</x:v>
      </x:c>
    </x:row>
    <x:row r="28">
      <x:c r="A28" s="49" t="str">
        <x:v>Matter</x:v>
      </x:c>
      <x:c r="B28" s="49" t="str">
        <x:v>review</x:v>
      </x:c>
      <x:c r="C28" s="49" t="str">
        <x:v>内部/顧客レビュー中</x:v>
      </x:c>
      <x:c r="D28" s="49" t="str">
        <x:v>review_requested</x:v>
      </x:c>
      <x:c r="E28" s="49" t="str">
        <x:v>active/filing/rework</x:v>
      </x:c>
      <x:c r="F28" s="49" t="str">
        <x:v>対象版必須</x:v>
      </x:c>
    </x:row>
    <x:row r="29">
      <x:c r="A29" s="49" t="str">
        <x:v>Matter</x:v>
      </x:c>
      <x:c r="B29" s="49" t="str">
        <x:v>filing</x:v>
      </x:c>
      <x:c r="C29" s="49" t="str">
        <x:v>送付/提出処理中</x:v>
      </x:c>
      <x:c r="D29" s="49" t="str">
        <x:v>deliverable_sent/filing_submitted</x:v>
      </x:c>
      <x:c r="E29" s="49" t="str">
        <x:v>waiting_opponent/waiting_court/active</x:v>
      </x:c>
      <x:c r="F29" s="49" t="str">
        <x:v>送付証跡必須</x:v>
      </x:c>
    </x:row>
    <x:row r="30">
      <x:c r="A30" s="49" t="str">
        <x:v>Matter</x:v>
      </x:c>
      <x:c r="B30" s="49" t="str">
        <x:v>resolution_pending</x:v>
      </x:c>
      <x:c r="C30" s="49" t="str">
        <x:v>解決後履行中</x:v>
      </x:c>
      <x:c r="D30" s="49" t="str">
        <x:v>outcome_reached</x:v>
      </x:c>
      <x:c r="E30" s="49" t="str">
        <x:v>closing/active</x:v>
      </x:c>
      <x:c r="F30" s="49" t="str">
        <x:v>残作業・期限必須</x:v>
      </x:c>
    </x:row>
    <x:row r="31">
      <x:c r="A31" s="49" t="str">
        <x:v>Matter</x:v>
      </x:c>
      <x:c r="B31" s="49" t="str">
        <x:v>closing</x:v>
      </x:c>
      <x:c r="C31" s="49" t="str">
        <x:v>終結処理中</x:v>
      </x:c>
      <x:c r="D31" s="49" t="str">
        <x:v>closing_authorized</x:v>
      </x:c>
      <x:c r="E31" s="49" t="str">
        <x:v>closed/active</x:v>
      </x:c>
      <x:c r="F31" s="49" t="str">
        <x:v>全close gate</x:v>
      </x:c>
    </x:row>
    <x:row r="32">
      <x:c r="A32" s="49" t="str">
        <x:v>Matter</x:v>
      </x:c>
      <x:c r="B32" s="49" t="str">
        <x:v>closed</x:v>
      </x:c>
      <x:c r="C32" s="49" t="str">
        <x:v>終結済</x:v>
      </x:c>
      <x:c r="D32" s="49" t="str">
        <x:v>matter_closed</x:v>
      </x:c>
      <x:c r="E32" s="49" t="str">
        <x:v>reopened</x:v>
      </x:c>
      <x:c r="F32" s="49" t="str">
        <x:v>終結証跡・知識化</x:v>
      </x:c>
    </x:row>
    <x:row r="33">
      <x:c r="A33" s="49" t="str">
        <x:v>WorkItem</x:v>
      </x:c>
      <x:c r="B33" s="49" t="str">
        <x:v>open</x:v>
      </x:c>
      <x:c r="C33" s="49" t="str">
        <x:v>未着手</x:v>
      </x:c>
      <x:c r="D33" s="49" t="str">
        <x:v>work_item_created</x:v>
      </x:c>
      <x:c r="E33" s="49" t="str">
        <x:v>in_progress/waiting/cancelled</x:v>
      </x:c>
      <x:c r="F33" s="49" t="str">
        <x:v>owner/due</x:v>
      </x:c>
    </x:row>
    <x:row r="34">
      <x:c r="A34" s="49" t="str">
        <x:v>WorkItem</x:v>
      </x:c>
      <x:c r="B34" s="49" t="str">
        <x:v>in_progress</x:v>
      </x:c>
      <x:c r="C34" s="49" t="str">
        <x:v>作業中</x:v>
      </x:c>
      <x:c r="D34" s="49" t="str">
        <x:v>work_item_started</x:v>
      </x:c>
      <x:c r="E34" s="49" t="str">
        <x:v>review/waiting/complete/blocked</x:v>
      </x:c>
      <x:c r="F34" s="49" t="str">
        <x:v>work session</x:v>
      </x:c>
    </x:row>
    <x:row r="35">
      <x:c r="A35" s="49" t="str">
        <x:v>WorkItem</x:v>
      </x:c>
      <x:c r="B35" s="49" t="str">
        <x:v>waiting</x:v>
      </x:c>
      <x:c r="C35" s="49" t="str">
        <x:v>待機</x:v>
      </x:c>
      <x:c r="D35" s="49" t="str">
        <x:v>work_item_waiting</x:v>
      </x:c>
      <x:c r="E35" s="49" t="str">
        <x:v>in_progress/complete/cancelled</x:v>
      </x:c>
      <x:c r="F35" s="49" t="str">
        <x:v>waiting_on/next_check</x:v>
      </x:c>
    </x:row>
    <x:row r="36">
      <x:c r="A36" s="49" t="str">
        <x:v>WorkItem</x:v>
      </x:c>
      <x:c r="B36" s="49" t="str">
        <x:v>blocked</x:v>
      </x:c>
      <x:c r="C36" s="49" t="str">
        <x:v>阻害あり</x:v>
      </x:c>
      <x:c r="D36" s="49" t="str">
        <x:v>blocker_detected</x:v>
      </x:c>
      <x:c r="E36" s="49" t="str">
        <x:v>in_progress/cancelled</x:v>
      </x:c>
      <x:c r="F36" s="49" t="str">
        <x:v>blocker/owner</x:v>
      </x:c>
    </x:row>
    <x:row r="37">
      <x:c r="A37" s="49" t="str">
        <x:v>WorkItem</x:v>
      </x:c>
      <x:c r="B37" s="49" t="str">
        <x:v>review</x:v>
      </x:c>
      <x:c r="C37" s="49" t="str">
        <x:v>レビュー待ち</x:v>
      </x:c>
      <x:c r="D37" s="49" t="str">
        <x:v>review_requested</x:v>
      </x:c>
      <x:c r="E37" s="49" t="str">
        <x:v>complete/in_progress/blocked</x:v>
      </x:c>
      <x:c r="F37" s="49" t="str">
        <x:v>reviewer/due</x:v>
      </x:c>
    </x:row>
    <x:row r="38">
      <x:c r="A38" s="49" t="str">
        <x:v>WorkItem</x:v>
      </x:c>
      <x:c r="B38" s="49" t="str">
        <x:v>complete</x:v>
      </x:c>
      <x:c r="C38" s="49" t="str">
        <x:v>完了</x:v>
      </x:c>
      <x:c r="D38" s="49" t="str">
        <x:v>work_item_completed</x:v>
      </x:c>
      <x:c r="E38" s="49" t="str">
        <x:v>reopened</x:v>
      </x:c>
      <x:c r="F38" s="49" t="str">
        <x:v>completion evidence</x:v>
      </x:c>
    </x:row>
    <x:row r="39">
      <x:c r="A39" s="49" t="str">
        <x:v>Document</x:v>
      </x:c>
      <x:c r="B39" s="49" t="str">
        <x:v>received</x:v>
      </x:c>
      <x:c r="C39" s="49" t="str">
        <x:v>受領済</x:v>
      </x:c>
      <x:c r="D39" s="49" t="str">
        <x:v>document_received</x:v>
      </x:c>
      <x:c r="E39" s="49" t="str">
        <x:v>classified/quarantine</x:v>
      </x:c>
      <x:c r="F39" s="49" t="str">
        <x:v>source evidence</x:v>
      </x:c>
    </x:row>
    <x:row r="40">
      <x:c r="A40" s="49" t="str">
        <x:v>Document</x:v>
      </x:c>
      <x:c r="B40" s="49" t="str">
        <x:v>classified</x:v>
      </x:c>
      <x:c r="C40" s="49" t="str">
        <x:v>分類済</x:v>
      </x:c>
      <x:c r="D40" s="49" t="str">
        <x:v>document_classified</x:v>
      </x:c>
      <x:c r="E40" s="49" t="str">
        <x:v>working_draft/archived</x:v>
      </x:c>
      <x:c r="F40" s="49" t="str">
        <x:v>doc_type/matter</x:v>
      </x:c>
    </x:row>
    <x:row r="41">
      <x:c r="A41" s="49" t="str">
        <x:v>Document</x:v>
      </x:c>
      <x:c r="B41" s="49" t="str">
        <x:v>working_draft</x:v>
      </x:c>
      <x:c r="C41" s="49" t="str">
        <x:v>作業版</x:v>
      </x:c>
      <x:c r="D41" s="49" t="str">
        <x:v>draft_created</x:v>
      </x:c>
      <x:c r="E41" s="49" t="str">
        <x:v>internal_review/superseded</x:v>
      </x:c>
      <x:c r="F41" s="49" t="str">
        <x:v>version/author</x:v>
      </x:c>
    </x:row>
    <x:row r="42">
      <x:c r="A42" s="49" t="str">
        <x:v>Document</x:v>
      </x:c>
      <x:c r="B42" s="49" t="str">
        <x:v>internal_review</x:v>
      </x:c>
      <x:c r="C42" s="49" t="str">
        <x:v>内部レビュー</x:v>
      </x:c>
      <x:c r="D42" s="49" t="str">
        <x:v>review_requested</x:v>
      </x:c>
      <x:c r="E42" s="49" t="str">
        <x:v>client_review/approved/working_draft</x:v>
      </x:c>
      <x:c r="F42" s="49" t="str">
        <x:v>review record</x:v>
      </x:c>
    </x:row>
    <x:row r="43">
      <x:c r="A43" s="49" t="str">
        <x:v>Document</x:v>
      </x:c>
      <x:c r="B43" s="49" t="str">
        <x:v>client_review</x:v>
      </x:c>
      <x:c r="C43" s="49" t="str">
        <x:v>顧客確認</x:v>
      </x:c>
      <x:c r="D43" s="49" t="str">
        <x:v>client_review_requested</x:v>
      </x:c>
      <x:c r="E43" s="49" t="str">
        <x:v>approved/working_draft</x:v>
      </x:c>
      <x:c r="F43" s="49" t="str">
        <x:v>sent version</x:v>
      </x:c>
    </x:row>
    <x:row r="44">
      <x:c r="A44" s="49" t="str">
        <x:v>Document</x:v>
      </x:c>
      <x:c r="B44" s="49" t="str">
        <x:v>approved</x:v>
      </x:c>
      <x:c r="C44" s="49" t="str">
        <x:v>外部送付可</x:v>
      </x:c>
      <x:c r="D44" s="49" t="str">
        <x:v>review_completed/client_approval</x:v>
      </x:c>
      <x:c r="E44" s="49" t="str">
        <x:v>sent/filed</x:v>
      </x:c>
      <x:c r="F44" s="49" t="str">
        <x:v>approver/time</x:v>
      </x:c>
    </x:row>
    <x:row r="45">
      <x:c r="A45" s="49" t="str">
        <x:v>Document</x:v>
      </x:c>
      <x:c r="B45" s="49" t="str">
        <x:v>sent</x:v>
      </x:c>
      <x:c r="C45" s="49" t="str">
        <x:v>外部送付済</x:v>
      </x:c>
      <x:c r="D45" s="49" t="str">
        <x:v>deliverable_sent</x:v>
      </x:c>
      <x:c r="E45" s="49" t="str">
        <x:v>accepted/superseded</x:v>
      </x:c>
      <x:c r="F45" s="49" t="str">
        <x:v>recipient/channel</x:v>
      </x:c>
    </x:row>
    <x:row r="46">
      <x:c r="A46" s="49" t="str">
        <x:v>Document</x:v>
      </x:c>
      <x:c r="B46" s="49" t="str">
        <x:v>filed</x:v>
      </x:c>
      <x:c r="C46" s="49" t="str">
        <x:v>提出済</x:v>
      </x:c>
      <x:c r="D46" s="49" t="str">
        <x:v>court_filing_submitted</x:v>
      </x:c>
      <x:c r="E46" s="49" t="str">
        <x:v>accepted/rejected/correction_required</x:v>
      </x:c>
      <x:c r="F46" s="49" t="str">
        <x:v>receipt</x:v>
      </x:c>
    </x:row>
    <x:row r="47">
      <x:c r="A47" s="49" t="str">
        <x:v>Document</x:v>
      </x:c>
      <x:c r="B47" s="49" t="str">
        <x:v>accepted</x:v>
      </x:c>
      <x:c r="C47" s="49" t="str">
        <x:v>到達/受理済</x:v>
      </x:c>
      <x:c r="D47" s="49" t="str">
        <x:v>delivery_acknowledged</x:v>
      </x:c>
      <x:c r="E47" s="49" t="str">
        <x:v>archived/superseded</x:v>
      </x:c>
      <x:c r="F47" s="49" t="str">
        <x:v>ack evidence</x:v>
      </x:c>
    </x:row>
    <x:row r="48">
      <x:c r="A48" s="49" t="str">
        <x:v>Document</x:v>
      </x:c>
      <x:c r="B48" s="49" t="str">
        <x:v>superseded</x:v>
      </x:c>
      <x:c r="C48" s="49" t="str">
        <x:v>旧版</x:v>
      </x:c>
      <x:c r="D48" s="49" t="str">
        <x:v>new version</x:v>
      </x:c>
      <x:c r="E48" s="49" t="str">
        <x:v>archived</x:v>
      </x:c>
      <x:c r="F48" s="49" t="str">
        <x:v>replacement ref</x:v>
      </x:c>
    </x:row>
    <x:row r="49">
      <x:c r="A49" s="49" t="str">
        <x:v>Finance</x:v>
      </x:c>
      <x:c r="B49" s="49" t="str">
        <x:v>quote_draft</x:v>
      </x:c>
      <x:c r="C49" s="49" t="str">
        <x:v>見積作成中</x:v>
      </x:c>
      <x:c r="D49" s="49" t="str">
        <x:v>quote_requested</x:v>
      </x:c>
      <x:c r="E49" s="49" t="str">
        <x:v>quote_sent/cancelled</x:v>
      </x:c>
      <x:c r="F49" s="49" t="str">
        <x:v>version/approver</x:v>
      </x:c>
    </x:row>
    <x:row r="50">
      <x:c r="A50" s="49" t="str">
        <x:v>Finance</x:v>
      </x:c>
      <x:c r="B50" s="49" t="str">
        <x:v>quote_sent</x:v>
      </x:c>
      <x:c r="C50" s="49" t="str">
        <x:v>見積送付済</x:v>
      </x:c>
      <x:c r="D50" s="49" t="str">
        <x:v>proposal_sent</x:v>
      </x:c>
      <x:c r="E50" s="49" t="str">
        <x:v>accepted/rejected/revised</x:v>
      </x:c>
      <x:c r="F50" s="49" t="str">
        <x:v>recipient/version</x:v>
      </x:c>
    </x:row>
    <x:row r="51">
      <x:c r="A51" s="49" t="str">
        <x:v>Finance</x:v>
      </x:c>
      <x:c r="B51" s="49" t="str">
        <x:v>invoice_draft</x:v>
      </x:c>
      <x:c r="C51" s="49" t="str">
        <x:v>請求書作成中</x:v>
      </x:c>
      <x:c r="D51" s="49" t="str">
        <x:v>invoice_created</x:v>
      </x:c>
      <x:c r="E51" s="49" t="str">
        <x:v>invoice_sent/cancelled</x:v>
      </x:c>
      <x:c r="F51" s="49" t="str">
        <x:v>line items/matter</x:v>
      </x:c>
    </x:row>
    <x:row r="52">
      <x:c r="A52" s="49" t="str">
        <x:v>Finance</x:v>
      </x:c>
      <x:c r="B52" s="49" t="str">
        <x:v>invoice_sent</x:v>
      </x:c>
      <x:c r="C52" s="49" t="str">
        <x:v>請求済</x:v>
      </x:c>
      <x:c r="D52" s="49" t="str">
        <x:v>invoice_sent</x:v>
      </x:c>
      <x:c r="E52" s="49" t="str">
        <x:v>acknowledged/part_paid/paid/overdue</x:v>
      </x:c>
      <x:c r="F52" s="49" t="str">
        <x:v>payer/due</x:v>
      </x:c>
    </x:row>
    <x:row r="53">
      <x:c r="A53" s="49" t="str">
        <x:v>Finance</x:v>
      </x:c>
      <x:c r="B53" s="49" t="str">
        <x:v>acknowledged</x:v>
      </x:c>
      <x:c r="C53" s="49" t="str">
        <x:v>支払処理確認</x:v>
      </x:c>
      <x:c r="D53" s="49" t="str">
        <x:v>payment_acknowledged</x:v>
      </x:c>
      <x:c r="E53" s="49" t="str">
        <x:v>part_paid/paid/overdue</x:v>
      </x:c>
      <x:c r="F53" s="49" t="str">
        <x:v>external ref</x:v>
      </x:c>
    </x:row>
    <x:row r="54">
      <x:c r="A54" s="49" t="str">
        <x:v>Finance</x:v>
      </x:c>
      <x:c r="B54" s="49" t="str">
        <x:v>part_paid</x:v>
      </x:c>
      <x:c r="C54" s="49" t="str">
        <x:v>一部入金</x:v>
      </x:c>
      <x:c r="D54" s="49" t="str">
        <x:v>payment_received</x:v>
      </x:c>
      <x:c r="E54" s="49" t="str">
        <x:v>paid/overdue/adjusted</x:v>
      </x:c>
      <x:c r="F54" s="49" t="str">
        <x:v>balance</x:v>
      </x:c>
    </x:row>
    <x:row r="55">
      <x:c r="A55" s="49" t="str">
        <x:v>Finance</x:v>
      </x:c>
      <x:c r="B55" s="49" t="str">
        <x:v>paid</x:v>
      </x:c>
      <x:c r="C55" s="49" t="str">
        <x:v>入金済</x:v>
      </x:c>
      <x:c r="D55" s="49" t="str">
        <x:v>payment_received</x:v>
      </x:c>
      <x:c r="E55" s="49" t="str">
        <x:v>reconciled/refunded</x:v>
      </x:c>
      <x:c r="F55" s="49" t="str">
        <x:v>payment ref</x:v>
      </x:c>
    </x:row>
    <x:row r="56">
      <x:c r="A56" s="49" t="str">
        <x:v>Finance</x:v>
      </x:c>
      <x:c r="B56" s="49" t="str">
        <x:v>overdue</x:v>
      </x:c>
      <x:c r="C56" s="49" t="str">
        <x:v>期限超過</x:v>
      </x:c>
      <x:c r="D56" s="49" t="str">
        <x:v>invoice_overdue</x:v>
      </x:c>
      <x:c r="E56" s="49" t="str">
        <x:v>paid/adjusted/writeoff</x:v>
      </x:c>
      <x:c r="F56" s="49" t="str">
        <x:v>collection task</x:v>
      </x:c>
    </x:row>
    <x:row r="57">
      <x:c r="A57" s="49" t="str">
        <x:v>Finance</x:v>
      </x:c>
      <x:c r="B57" s="49" t="str">
        <x:v>reconciled</x:v>
      </x:c>
      <x:c r="C57" s="49" t="str">
        <x:v>精算済</x:v>
      </x:c>
      <x:c r="D57" s="49" t="str">
        <x:v>financial_reconciliation_completed</x:v>
      </x:c>
      <x:c r="E57" s="49" t="str">
        <x:v>—</x:v>
      </x:c>
      <x:c r="F57" s="49" t="str">
        <x:v>zero/open balances explained</x:v>
      </x:c>
    </x:row>
  </x:sheetData>
  <x:mergeCells>
    <x:mergeCell ref="A1:F1"/>
    <x:mergeCell ref="A2:F2"/>
  </x:mergeCells>
  <x:pageMargins left="0.7" right="0.7" top="0.75" bottom="0.75" header="0.3" footer="0.3"/>
  <x:tableParts count="1">
    <x:tablePart xmlns:r="http://schemas.openxmlformats.org/officeDocument/2006/relationships" r:id="R077adb15cf2f4f6e"/>
  </x:tableParts>
</x:worksheet>
</file>

<file path=xl/worksheets/sheet8.xml><?xml version="1.0" encoding="utf-8"?>
<x:worksheet xmlns:x="http://schemas.openxmlformats.org/spreadsheetml/2006/main">
  <x:sheetFormatPr defaultRowHeight="15"/>
  <x:cols>
    <x:col min="1" max="1" width="31" hidden="0" customWidth="1"/>
    <x:col min="2" max="2" width="24" hidden="0" customWidth="1"/>
    <x:col min="3" max="3" width="32" hidden="0" customWidth="1"/>
    <x:col min="4" max="4" width="50" hidden="0" customWidth="1"/>
    <x:col min="5" max="5" width="10" hidden="0" customWidth="1"/>
    <x:col min="6" max="6" width="20" hidden="0" customWidth="1"/>
    <x:col min="7" max="7" width="18" hidden="0" customWidth="1"/>
  </x:cols>
  <x:sheetData>
    <x:row r="1" ht="30" customHeight="1">
      <x:c r="A1" s="5" t="str">
        <x:v>Salesforce相談フィールド→目標モデル対応</x:v>
      </x:c>
      <x:c r="B1" s="5"/>
      <x:c r="C1" s="5"/>
      <x:c r="D1" s="5"/>
      <x:c r="E1" s="5"/>
      <x:c r="F1" s="5"/>
      <x:c r="G1" s="5"/>
    </x:row>
    <x:row r="2" ht="32" customHeight="1">
      <x:c r="A2" s="13" t="str">
        <x:v>既存項目を捨てず、event、work item、decision、finance、provenanceへ接続する。自由記述欄の過積載と日付のみの粒度不足を重点的に解消する。</x:v>
      </x:c>
      <x:c r="B2" s="13"/>
      <x:c r="C2" s="13"/>
      <x:c r="D2" s="13"/>
      <x:c r="E2" s="13"/>
      <x:c r="F2" s="13"/>
      <x:c r="G2" s="13"/>
    </x:row>
    <x:row r="4" ht="30" customHeight="1">
      <x:c r="A4" s="42" t="str">
        <x:v>現行SFフィールド</x:v>
      </x:c>
      <x:c r="B4" s="42" t="str">
        <x:v>表示名</x:v>
      </x:c>
      <x:c r="C4" s="42" t="str">
        <x:v>目標概念</x:v>
      </x:c>
      <x:c r="D4" s="42" t="str">
        <x:v>変換/補完ルール</x:v>
      </x:c>
      <x:c r="E4" s="42" t="str">
        <x:v>重要度</x:v>
      </x:c>
      <x:c r="F4" s="42" t="str">
        <x:v>用途</x:v>
      </x:c>
      <x:c r="G4" s="42" t="str">
        <x:v>評価</x:v>
      </x:c>
    </x:row>
    <x:row r="5">
      <x:c r="A5" s="49" t="str">
        <x:v>leala__Consultation__c.Id</x:v>
      </x:c>
      <x:c r="B5" s="49" t="str">
        <x:v>相談ID</x:v>
      </x:c>
      <x:c r="C5" s="49" t="str">
        <x:v>consultation_ref.id</x:v>
      </x:c>
      <x:c r="D5" s="49" t="str">
        <x:v>そのまま</x:v>
      </x:c>
      <x:c r="E5" s="49" t="str">
        <x:v>高</x:v>
      </x:c>
      <x:c r="F5" s="49" t="str">
        <x:v>主キー</x:v>
      </x:c>
      <x:c r="G5" s="49" t="str">
        <x:v>既存</x:v>
      </x:c>
    </x:row>
    <x:row r="6">
      <x:c r="A6" s="49" t="str">
        <x:v>CreatedDate</x:v>
      </x:c>
      <x:c r="B6" s="49" t="str">
        <x:v>レコード作成日時</x:v>
      </x:c>
      <x:c r="C6" s="49" t="str">
        <x:v>created_at</x:v>
      </x:c>
      <x:c r="D6" s="49" t="str">
        <x:v>そのまま。ただし問合せ受信時刻とは分ける</x:v>
      </x:c>
      <x:c r="E6" s="49" t="str">
        <x:v>高</x:v>
      </x:c>
      <x:c r="F6" s="49" t="str">
        <x:v>受付遅延分析</x:v>
      </x:c>
      <x:c r="G6" s="49" t="str">
        <x:v>既存</x:v>
      </x:c>
    </x:row>
    <x:row r="7">
      <x:c r="A7" s="49" t="str">
        <x:v>leala__ConsultationReceptionDate__c</x:v>
      </x:c>
      <x:c r="B7" s="49" t="str">
        <x:v>相談受付日</x:v>
      </x:c>
      <x:c r="C7" s="49" t="str">
        <x:v>inquiry_received_at/date</x:v>
      </x:c>
      <x:c r="D7" s="49" t="str">
        <x:v>datetime追加候補。raw eventから生成</x:v>
      </x:c>
      <x:c r="E7" s="49" t="str">
        <x:v>高</x:v>
      </x:c>
      <x:c r="F7" s="49" t="str">
        <x:v>日付だけではSLA不可</x:v>
      </x:c>
      <x:c r="G7" s="49" t="str">
        <x:v>不足</x:v>
      </x:c>
    </x:row>
    <x:row r="8">
      <x:c r="A8" s="49" t="str">
        <x:v>leala__ConsultedDate__c</x:v>
      </x:c>
      <x:c r="B8" s="49" t="str">
        <x:v>初回相談日</x:v>
      </x:c>
      <x:c r="C8" s="49" t="str">
        <x:v>consultation_completed_at</x:v>
      </x:c>
      <x:c r="D8" s="49" t="str">
        <x:v>Calendar/Nottaのdatetimeで補完</x:v>
      </x:c>
      <x:c r="E8" s="49" t="str">
        <x:v>高</x:v>
      </x:c>
      <x:c r="F8" s="49" t="str">
        <x:v>相談リードタイム</x:v>
      </x:c>
      <x:c r="G8" s="49" t="str">
        <x:v>不足</x:v>
      </x:c>
    </x:row>
    <x:row r="9">
      <x:c r="A9" s="49" t="str">
        <x:v>leala__StageName__c</x:v>
      </x:c>
      <x:c r="B9" s="49" t="str">
        <x:v>進捗度</x:v>
      </x:c>
      <x:c r="C9" s="49" t="str">
        <x:v>declared_state</x:v>
      </x:c>
      <x:c r="D9" s="49" t="str">
        <x:v>既存7状態を保持。詳細stateは派生/別項目</x:v>
      </x:c>
      <x:c r="E9" s="49" t="str">
        <x:v>最高</x:v>
      </x:c>
      <x:c r="F9" s="49" t="str">
        <x:v>申告状態</x:v>
      </x:c>
      <x:c r="G9" s="49" t="str">
        <x:v>既存だが粗い</x:v>
      </x:c>
    </x:row>
    <x:row r="10">
      <x:c r="A10" s="49" t="str">
        <x:v>ALO_Last_Email_At__c</x:v>
      </x:c>
      <x:c r="B10" s="49" t="str">
        <x:v>最終メール</x:v>
      </x:c>
      <x:c r="C10" s="49" t="str">
        <x:v>last_observed.email_at</x:v>
      </x:c>
      <x:c r="D10" s="49" t="str">
        <x:v>DerivedEvent集計</x:v>
      </x:c>
      <x:c r="E10" s="49" t="str">
        <x:v>中</x:v>
      </x:c>
      <x:c r="F10" s="49" t="str">
        <x:v>鮮度表示のみ</x:v>
      </x:c>
      <x:c r="G10" s="49" t="str">
        <x:v>既存</x:v>
      </x:c>
    </x:row>
    <x:row r="11">
      <x:c r="A11" s="49" t="str">
        <x:v>ALO_Last_Call_At__c</x:v>
      </x:c>
      <x:c r="B11" s="49" t="str">
        <x:v>最終通話</x:v>
      </x:c>
      <x:c r="C11" s="49" t="str">
        <x:v>last_observed.call_at</x:v>
      </x:c>
      <x:c r="D11" s="49" t="str">
        <x:v>DerivedEvent集計</x:v>
      </x:c>
      <x:c r="E11" s="49" t="str">
        <x:v>中</x:v>
      </x:c>
      <x:c r="F11" s="49" t="str">
        <x:v>鮮度表示のみ</x:v>
      </x:c>
      <x:c r="G11" s="49" t="str">
        <x:v>既存</x:v>
      </x:c>
    </x:row>
    <x:row r="12">
      <x:c r="A12" s="49" t="str">
        <x:v>ALO_Last_Meeting_At__c</x:v>
      </x:c>
      <x:c r="B12" s="49" t="str">
        <x:v>最終会議</x:v>
      </x:c>
      <x:c r="C12" s="49" t="str">
        <x:v>last_observed.meeting_at</x:v>
      </x:c>
      <x:c r="D12" s="49" t="str">
        <x:v>DerivedEvent集計</x:v>
      </x:c>
      <x:c r="E12" s="49" t="str">
        <x:v>中</x:v>
      </x:c>
      <x:c r="F12" s="49" t="str">
        <x:v>鮮度表示のみ</x:v>
      </x:c>
      <x:c r="G12" s="49" t="str">
        <x:v>既存</x:v>
      </x:c>
    </x:row>
    <x:row r="13">
      <x:c r="A13" s="49" t="str">
        <x:v>leala__Source__c</x:v>
      </x:c>
      <x:c r="B13" s="49" t="str">
        <x:v>流入経路</x:v>
      </x:c>
      <x:c r="C13" s="49" t="str">
        <x:v>lead_source.primary</x:v>
      </x:c>
      <x:c r="D13" s="49" t="str">
        <x:v>既存picklist＋native evidence</x:v>
      </x:c>
      <x:c r="E13" s="49" t="str">
        <x:v>高</x:v>
      </x:c>
      <x:c r="F13" s="49" t="str">
        <x:v>流入分析</x:v>
      </x:c>
      <x:c r="G13" s="49" t="str">
        <x:v>既存</x:v>
      </x:c>
    </x:row>
    <x:row r="14">
      <x:c r="A14" s="49" t="str">
        <x:v>leala__SourceMiddle__c</x:v>
      </x:c>
      <x:c r="B14" s="49" t="str">
        <x:v>流入経路詳細</x:v>
      </x:c>
      <x:c r="C14" s="49" t="str">
        <x:v>lead_source.detail</x:v>
      </x:c>
      <x:c r="D14" s="49" t="str">
        <x:v>選択肢の欠落/古さを監査</x:v>
      </x:c>
      <x:c r="E14" s="49" t="str">
        <x:v>中</x:v>
      </x:c>
      <x:c r="F14" s="49" t="str">
        <x:v>紹介/媒体分析</x:v>
      </x:c>
      <x:c r="G14" s="49" t="str">
        <x:v>既存</x:v>
      </x:c>
    </x:row>
    <x:row r="15">
      <x:c r="A15" s="49" t="str">
        <x:v>leala__SourcePartner__c</x:v>
      </x:c>
      <x:c r="B15" s="49" t="str">
        <x:v>紹介者</x:v>
      </x:c>
      <x:c r="C15" s="49" t="str">
        <x:v>lead_source.referrer_party_id</x:v>
      </x:c>
      <x:c r="D15" s="49" t="str">
        <x:v>Party refへ統一</x:v>
      </x:c>
      <x:c r="E15" s="49" t="str">
        <x:v>高</x:v>
      </x:c>
      <x:c r="F15" s="49" t="str">
        <x:v>関係分析</x:v>
      </x:c>
      <x:c r="G15" s="49" t="str">
        <x:v>既存</x:v>
      </x:c>
    </x:row>
    <x:row r="16">
      <x:c r="A16" s="49" t="str">
        <x:v>leala__CaseOutline__c</x:v>
      </x:c>
      <x:c r="B16" s="49" t="str">
        <x:v>事件概要</x:v>
      </x:c>
      <x:c r="C16" s="49" t="str">
        <x:v>matter_summary.current</x:v>
      </x:c>
      <x:c r="D16" s="49" t="str">
        <x:v>原文とAI要約を分離</x:v>
      </x:c>
      <x:c r="E16" s="49" t="str">
        <x:v>高</x:v>
      </x:c>
      <x:c r="F16" s="49" t="str">
        <x:v>分類/引継ぎ</x:v>
      </x:c>
      <x:c r="G16" s="49" t="str">
        <x:v>既存だが混在</x:v>
      </x:c>
    </x:row>
    <x:row r="17">
      <x:c r="A17" s="49" t="str">
        <x:v>leala__CaseCategorySingle__c</x:v>
      </x:c>
      <x:c r="B17" s="49" t="str">
        <x:v>事件分野</x:v>
      </x:c>
      <x:c r="C17" s="49" t="str">
        <x:v>classification.declared</x:v>
      </x:c>
      <x:c r="D17" s="49" t="str">
        <x:v>AI推定は別フィールド</x:v>
      </x:c>
      <x:c r="E17" s="49" t="str">
        <x:v>高</x:v>
      </x:c>
      <x:c r="F17" s="49" t="str">
        <x:v>分類</x:v>
      </x:c>
      <x:c r="G17" s="49" t="str">
        <x:v>既存</x:v>
      </x:c>
    </x:row>
    <x:row r="18">
      <x:c r="A18" s="49" t="str">
        <x:v>ALO_Inferred_CaseCategory__c</x:v>
      </x:c>
      <x:c r="B18" s="49" t="str">
        <x:v>AI推定分野</x:v>
      </x:c>
      <x:c r="C18" s="49" t="str">
        <x:v>classification.inferred.value</x:v>
      </x:c>
      <x:c r="D18" s="49" t="str">
        <x:v>model/version/confidence/provenance追加</x:v>
      </x:c>
      <x:c r="E18" s="49" t="str">
        <x:v>中</x:v>
      </x:c>
      <x:c r="F18" s="49" t="str">
        <x:v>候補提示</x:v>
      </x:c>
      <x:c r="G18" s="49" t="str">
        <x:v>既存</x:v>
      </x:c>
    </x:row>
    <x:row r="19">
      <x:c r="A19" s="49" t="str">
        <x:v>ALO_Inferred_CaseCategory_Confidence__c</x:v>
      </x:c>
      <x:c r="B19" s="49" t="str">
        <x:v>推定確信度</x:v>
      </x:c>
      <x:c r="C19" s="49" t="str">
        <x:v>classification.inferred.confidence</x:v>
      </x:c>
      <x:c r="D19" s="49" t="str">
        <x:v>gold監査と校正</x:v>
      </x:c>
      <x:c r="E19" s="49" t="str">
        <x:v>中</x:v>
      </x:c>
      <x:c r="F19" s="49" t="str">
        <x:v>HITL閾値</x:v>
      </x:c>
      <x:c r="G19" s="49" t="str">
        <x:v>既存</x:v>
      </x:c>
    </x:row>
    <x:row r="20">
      <x:c r="A20" s="49" t="str">
        <x:v>leala__ChargeLawyer__c</x:v>
      </x:c>
      <x:c r="B20" s="49" t="str">
        <x:v>担当弁護士</x:v>
      </x:c>
      <x:c r="C20" s="49" t="str">
        <x:v>assignment.lead_lawyer</x:v>
      </x:c>
      <x:c r="D20" s="49" t="str">
        <x:v>有効期間付きassignment eventが望ましい</x:v>
      </x:c>
      <x:c r="E20" s="49" t="str">
        <x:v>最高</x:v>
      </x:c>
      <x:c r="F20" s="49" t="str">
        <x:v>責任者</x:v>
      </x:c>
      <x:c r="G20" s="49" t="str">
        <x:v>既存</x:v>
      </x:c>
    </x:row>
    <x:row r="21">
      <x:c r="A21" s="49" t="str">
        <x:v>leala__Clerk__c</x:v>
      </x:c>
      <x:c r="B21" s="49" t="str">
        <x:v>担当事務員</x:v>
      </x:c>
      <x:c r="C21" s="49" t="str">
        <x:v>assignment.clerk</x:v>
      </x:c>
      <x:c r="D21" s="49" t="str">
        <x:v>有効期間付き</x:v>
      </x:c>
      <x:c r="E21" s="49" t="str">
        <x:v>高</x:v>
      </x:c>
      <x:c r="F21" s="49" t="str">
        <x:v>責任者</x:v>
      </x:c>
      <x:c r="G21" s="49" t="str">
        <x:v>既存</x:v>
      </x:c>
    </x:row>
    <x:row r="22">
      <x:c r="A22" s="49" t="str">
        <x:v>leala__Team__c</x:v>
      </x:c>
      <x:c r="B22" s="49" t="str">
        <x:v>担当チーム</x:v>
      </x:c>
      <x:c r="C22" s="49" t="str">
        <x:v>assignment.team</x:v>
      </x:c>
      <x:c r="D22" s="49" t="str">
        <x:v>有効期間付き</x:v>
      </x:c>
      <x:c r="E22" s="49" t="str">
        <x:v>中</x:v>
      </x:c>
      <x:c r="F22" s="49" t="str">
        <x:v>負荷分析</x:v>
      </x:c>
      <x:c r="G22" s="49" t="str">
        <x:v>既存</x:v>
      </x:c>
    </x:row>
    <x:row r="23">
      <x:c r="A23" s="49" t="str">
        <x:v>leala__Probability__c</x:v>
      </x:c>
      <x:c r="B23" s="49" t="str">
        <x:v>受任確度</x:v>
      </x:c>
      <x:c r="C23" s="49" t="str">
        <x:v>forecast.probability</x:v>
      </x:c>
      <x:c r="D23" s="49" t="str">
        <x:v>根拠・更新時点・owner追加</x:v>
      </x:c>
      <x:c r="E23" s="49" t="str">
        <x:v>低〜中</x:v>
      </x:c>
      <x:c r="F23" s="49" t="str">
        <x:v>予測</x:v>
      </x:c>
      <x:c r="G23" s="49" t="str">
        <x:v>既存だが主観</x:v>
      </x:c>
    </x:row>
    <x:row r="24">
      <x:c r="A24" s="49" t="str">
        <x:v>leala__ExpectedCloseDate__c</x:v>
      </x:c>
      <x:c r="B24" s="49" t="str">
        <x:v>受任予定日</x:v>
      </x:c>
      <x:c r="C24" s="49" t="str">
        <x:v>engagement.expected_at</x:v>
      </x:c>
      <x:c r="D24" s="49" t="str">
        <x:v>意味を確認。提案followup dueとは分離</x:v>
      </x:c>
      <x:c r="E24" s="49" t="str">
        <x:v>中</x:v>
      </x:c>
      <x:c r="F24" s="49" t="str">
        <x:v>予測</x:v>
      </x:c>
      <x:c r="G24" s="49" t="str">
        <x:v>要定義</x:v>
      </x:c>
    </x:row>
    <x:row r="25">
      <x:c r="A25" s="49" t="str">
        <x:v>leala__ConsultationConverted__c</x:v>
      </x:c>
      <x:c r="B25" s="49" t="str">
        <x:v>受任案件に変換済み</x:v>
      </x:c>
      <x:c r="C25" s="49" t="str">
        <x:v>conversion.matter</x:v>
      </x:c>
      <x:c r="D25" s="49" t="str">
        <x:v>変換イベント＋target matter id必須</x:v>
      </x:c>
      <x:c r="E25" s="49" t="str">
        <x:v>最高</x:v>
      </x:c>
      <x:c r="F25" s="49" t="str">
        <x:v>ファネル</x:v>
      </x:c>
      <x:c r="G25" s="49" t="str">
        <x:v>既存</x:v>
      </x:c>
    </x:row>
    <x:row r="26">
      <x:c r="A26" s="49" t="str">
        <x:v>leala__AdvisorConsultationConverted__c</x:v>
      </x:c>
      <x:c r="B26" s="49" t="str">
        <x:v>顧問変換済み</x:v>
      </x:c>
      <x:c r="C26" s="49" t="str">
        <x:v>conversion.advisory</x:v>
      </x:c>
      <x:c r="D26" s="49" t="str">
        <x:v>target object/id必須</x:v>
      </x:c>
      <x:c r="E26" s="49" t="str">
        <x:v>高</x:v>
      </x:c>
      <x:c r="F26" s="49" t="str">
        <x:v>ファネル</x:v>
      </x:c>
      <x:c r="G26" s="49" t="str">
        <x:v>既存</x:v>
      </x:c>
    </x:row>
    <x:row r="27">
      <x:c r="A27" s="49" t="str">
        <x:v>leala__ReasonWhyNotReachConsultation__c</x:v>
      </x:c>
      <x:c r="B27" s="49" t="str">
        <x:v>相談未到達理由</x:v>
      </x:c>
      <x:c r="C27" s="49" t="str">
        <x:v>closure.pre_consult_reason</x:v>
      </x:c>
      <x:c r="D27" s="49" t="str">
        <x:v>選択肢＋詳細＋確定者/日</x:v>
      </x:c>
      <x:c r="E27" s="49" t="str">
        <x:v>高</x:v>
      </x:c>
      <x:c r="F27" s="49" t="str">
        <x:v>離脱分析</x:v>
      </x:c>
      <x:c r="G27" s="49" t="str">
        <x:v>既存</x:v>
      </x:c>
    </x:row>
    <x:row r="28">
      <x:c r="A28" s="49" t="str">
        <x:v>leala__ReasonForFailure__c</x:v>
      </x:c>
      <x:c r="B28" s="49" t="str">
        <x:v>受任不成立理由</x:v>
      </x:c>
      <x:c r="C28" s="49" t="str">
        <x:v>closure.non_engagement_reason</x:v>
      </x:c>
      <x:c r="D28" s="49" t="str">
        <x:v>提案前/後を分ける</x:v>
      </x:c>
      <x:c r="E28" s="49" t="str">
        <x:v>高</x:v>
      </x:c>
      <x:c r="F28" s="49" t="str">
        <x:v>失注分析</x:v>
      </x:c>
      <x:c r="G28" s="49" t="str">
        <x:v>既存</x:v>
      </x:c>
    </x:row>
    <x:row r="29">
      <x:c r="A29" s="49" t="str">
        <x:v>leala__DetailedReasonForClosing__c</x:v>
      </x:c>
      <x:c r="B29" s="49" t="str">
        <x:v>終了理由詳細</x:v>
      </x:c>
      <x:c r="C29" s="49" t="str">
        <x:v>closure.detail</x:v>
      </x:c>
      <x:c r="D29" s="49" t="str">
        <x:v>構造理由＋自由記述</x:v>
      </x:c>
      <x:c r="E29" s="49" t="str">
        <x:v>中</x:v>
      </x:c>
      <x:c r="F29" s="49" t="str">
        <x:v>分析</x:v>
      </x:c>
      <x:c r="G29" s="49" t="str">
        <x:v>既存</x:v>
      </x:c>
    </x:row>
    <x:row r="30">
      <x:c r="A30" s="49" t="str">
        <x:v>leala__OtherIncome__c</x:v>
      </x:c>
      <x:c r="B30" s="49" t="str">
        <x:v>相談料等</x:v>
      </x:c>
      <x:c r="C30" s="49" t="str">
        <x:v>finance.consultation_fee.quoted</x:v>
      </x:c>
      <x:c r="D30" s="49" t="str">
        <x:v>fee eventへ正規化</x:v>
      </x:c>
      <x:c r="E30" s="49" t="str">
        <x:v>高</x:v>
      </x:c>
      <x:c r="F30" s="49" t="str">
        <x:v>売上</x:v>
      </x:c>
      <x:c r="G30" s="49" t="str">
        <x:v>既存</x:v>
      </x:c>
    </x:row>
    <x:row r="31">
      <x:c r="A31" s="49" t="str">
        <x:v>leala__OtherIncomePaid__c</x:v>
      </x:c>
      <x:c r="B31" s="49" t="str">
        <x:v>相談料入金</x:v>
      </x:c>
      <x:c r="C31" s="49" t="str">
        <x:v>finance.consultation_fee.paid</x:v>
      </x:c>
      <x:c r="D31" s="49" t="str">
        <x:v>payment event/ref必須</x:v>
      </x:c>
      <x:c r="E31" s="49" t="str">
        <x:v>高</x:v>
      </x:c>
      <x:c r="F31" s="49" t="str">
        <x:v>消込</x:v>
      </x:c>
      <x:c r="G31" s="49" t="str">
        <x:v>既存</x:v>
      </x:c>
    </x:row>
    <x:row r="32">
      <x:c r="A32" s="49" t="str">
        <x:v>leala__RetainerFeeExpected__c</x:v>
      </x:c>
      <x:c r="B32" s="49" t="str">
        <x:v>着手金予測</x:v>
      </x:c>
      <x:c r="C32" s="49" t="str">
        <x:v>proposal.retainer_expected</x:v>
      </x:c>
      <x:c r="D32" s="49" t="str">
        <x:v>proposal versionへ結合</x:v>
      </x:c>
      <x:c r="E32" s="49" t="str">
        <x:v>高</x:v>
      </x:c>
      <x:c r="F32" s="49" t="str">
        <x:v>見込売上</x:v>
      </x:c>
      <x:c r="G32" s="49" t="str">
        <x:v>既存</x:v>
      </x:c>
    </x:row>
    <x:row r="33">
      <x:c r="A33" s="49" t="str">
        <x:v>leala__RewardExpected__c</x:v>
      </x:c>
      <x:c r="B33" s="49" t="str">
        <x:v>報酬金予測</x:v>
      </x:c>
      <x:c r="C33" s="49" t="str">
        <x:v>proposal.success_fee_expected</x:v>
      </x:c>
      <x:c r="D33" s="49" t="str">
        <x:v>計算式/条件へ結合</x:v>
      </x:c>
      <x:c r="E33" s="49" t="str">
        <x:v>高</x:v>
      </x:c>
      <x:c r="F33" s="49" t="str">
        <x:v>見込売上</x:v>
      </x:c>
      <x:c r="G33" s="49" t="str">
        <x:v>既存</x:v>
      </x:c>
    </x:row>
    <x:row r="34">
      <x:c r="A34" s="49" t="str">
        <x:v>leala__ActualCostDepositBalance__c等</x:v>
      </x:c>
      <x:c r="B34" s="49" t="str">
        <x:v>実費/預り金</x:v>
      </x:c>
      <x:c r="C34" s="49" t="str">
        <x:v>finance.ledger</x:v>
      </x:c>
      <x:c r="D34" s="49" t="str">
        <x:v>スナップショットと取引明細を分離</x:v>
      </x:c>
      <x:c r="E34" s="49" t="str">
        <x:v>最高</x:v>
      </x:c>
      <x:c r="F34" s="49" t="str">
        <x:v>精算</x:v>
      </x:c>
      <x:c r="G34" s="49" t="str">
        <x:v>既存だが要台帳</x:v>
      </x:c>
    </x:row>
    <x:row r="35">
      <x:c r="A35" s="49" t="str">
        <x:v>leala__UploadFolderUrlBox__c</x:v>
      </x:c>
      <x:c r="B35" s="49" t="str">
        <x:v>Box URL</x:v>
      </x:c>
      <x:c r="C35" s="49" t="str">
        <x:v>document_workspace.box_folder_id</x:v>
      </x:c>
      <x:c r="D35" s="49" t="str">
        <x:v>URLではなくfolder_idも保持</x:v>
      </x:c>
      <x:c r="E35" s="49" t="str">
        <x:v>最高</x:v>
      </x:c>
      <x:c r="F35" s="49" t="str">
        <x:v>ID貫通</x:v>
      </x:c>
      <x:c r="G35" s="49" t="str">
        <x:v>既存</x:v>
      </x:c>
    </x:row>
    <x:row r="36">
      <x:c r="A36" s="49" t="str">
        <x:v>leala__LawyerOrder__c</x:v>
      </x:c>
      <x:c r="B36" s="49" t="str">
        <x:v>弁護士指示</x:v>
      </x:c>
      <x:c r="C36" s="49" t="str">
        <x:v>work_item/decision</x:v>
      </x:c>
      <x:c r="D36" s="49" t="str">
        <x:v>自由記述欄の過積載を解消</x:v>
      </x:c>
      <x:c r="E36" s="49" t="str">
        <x:v>高</x:v>
      </x:c>
      <x:c r="F36" s="49" t="str">
        <x:v>次行動</x:v>
      </x:c>
      <x:c r="G36" s="49" t="str">
        <x:v>要分解</x:v>
      </x:c>
    </x:row>
    <x:row r="37">
      <x:c r="A37" s="49" t="str">
        <x:v>leala__StatusMemo__c</x:v>
      </x:c>
      <x:c r="B37" s="49" t="str">
        <x:v>進捗詳細</x:v>
      </x:c>
      <x:c r="C37" s="49" t="str">
        <x:v>matter_snapshot/next_action</x:v>
      </x:c>
      <x:c r="D37" s="49" t="str">
        <x:v>状態・待ち先・次行動・期限へ分解</x:v>
      </x:c>
      <x:c r="E37" s="49" t="str">
        <x:v>最高</x:v>
      </x:c>
      <x:c r="F37" s="49" t="str">
        <x:v>全件おろし</x:v>
      </x:c>
      <x:c r="G37" s="49" t="str">
        <x:v>要分解</x:v>
      </x:c>
    </x:row>
    <x:row r="38">
      <x:c r="A38" s="49" t="str">
        <x:v>leala__Memo__c</x:v>
      </x:c>
      <x:c r="B38" s="49" t="str">
        <x:v>特記事項</x:v>
      </x:c>
      <x:c r="C38" s="49" t="str">
        <x:v>annotations</x:v>
      </x:c>
      <x:c r="D38" s="49" t="str">
        <x:v>用途別annotation typeへ</x:v>
      </x:c>
      <x:c r="E38" s="49" t="str">
        <x:v>中</x:v>
      </x:c>
      <x:c r="F38" s="49" t="str">
        <x:v>例外</x:v>
      </x:c>
      <x:c r="G38" s="49" t="str">
        <x:v>要分解</x:v>
      </x:c>
    </x:row>
    <x:row r="39">
      <x:c r="A39" s="49" t="str">
        <x:v>ALO_Data_Quality_Score__c</x:v>
      </x:c>
      <x:c r="B39" s="49" t="str">
        <x:v>品質スコア</x:v>
      </x:c>
      <x:c r="C39" s="49" t="str">
        <x:v>quality_score</x:v>
      </x:c>
      <x:c r="D39" s="49" t="str">
        <x:v>完全性/鮮度/整合/証跡/確認済を内訳化</x:v>
      </x:c>
      <x:c r="E39" s="49" t="str">
        <x:v>中</x:v>
      </x:c>
      <x:c r="F39" s="49" t="str">
        <x:v>監査</x:v>
      </x:c>
      <x:c r="G39" s="49" t="str">
        <x:v>既存</x:v>
      </x:c>
    </x:row>
    <x:row r="40">
      <x:c r="A40" s="49" t="str">
        <x:v>（新規候補）</x:v>
      </x:c>
      <x:c r="B40" s="49" t="str">
        <x:v>問合せ受信日時</x:v>
      </x:c>
      <x:c r="C40" s="49" t="str">
        <x:v>inquiry_received_at</x:v>
      </x:c>
      <x:c r="D40" s="49" t="str">
        <x:v>source event最古時刻</x:v>
      </x:c>
      <x:c r="E40" s="49" t="str">
        <x:v>最高</x:v>
      </x:c>
      <x:c r="F40" s="49" t="str">
        <x:v>SLA</x:v>
      </x:c>
      <x:c r="G40" s="49" t="str">
        <x:v>新設</x:v>
      </x:c>
    </x:row>
    <x:row r="41">
      <x:c r="A41" s="49" t="str">
        <x:v>（新規候補）</x:v>
      </x:c>
      <x:c r="B41" s="49" t="str">
        <x:v>コンフリ結果/日時/判断者</x:v>
      </x:c>
      <x:c r="C41" s="49" t="str">
        <x:v>conflict_decision</x:v>
      </x:c>
      <x:c r="D41" s="49" t="str">
        <x:v>decision recordへの参照</x:v>
      </x:c>
      <x:c r="E41" s="49" t="str">
        <x:v>最高</x:v>
      </x:c>
      <x:c r="F41" s="49" t="str">
        <x:v>重大ゲート</x:v>
      </x:c>
      <x:c r="G41" s="49" t="str">
        <x:v>新設</x:v>
      </x:c>
    </x:row>
    <x:row r="42">
      <x:c r="A42" s="49" t="str">
        <x:v>（新規候補）</x:v>
      </x:c>
      <x:c r="B42" s="49" t="str">
        <x:v>相談予定日時・方法</x:v>
      </x:c>
      <x:c r="C42" s="49" t="str">
        <x:v>consultation_appointment</x:v>
      </x:c>
      <x:c r="D42" s="49" t="str">
        <x:v>Calendar Eventへの参照</x:v>
      </x:c>
      <x:c r="E42" s="49" t="str">
        <x:v>高</x:v>
      </x:c>
      <x:c r="F42" s="49" t="str">
        <x:v>予約</x:v>
      </x:c>
      <x:c r="G42" s="49" t="str">
        <x:v>新設/関連</x:v>
      </x:c>
    </x:row>
    <x:row r="43">
      <x:c r="A43" s="49" t="str">
        <x:v>（新規候補）</x:v>
      </x:c>
      <x:c r="B43" s="49" t="str">
        <x:v>次行動・担当・期限・待ち先</x:v>
      </x:c>
      <x:c r="C43" s="49" t="str">
        <x:v>next_action</x:v>
      </x:c>
      <x:c r="D43" s="49" t="str">
        <x:v>WorkItem参照。単一 current pointer</x:v>
      </x:c>
      <x:c r="E43" s="49" t="str">
        <x:v>最高</x:v>
      </x:c>
      <x:c r="F43" s="49" t="str">
        <x:v>放置防止</x:v>
      </x:c>
      <x:c r="G43" s="49" t="str">
        <x:v>新設/既存組合せ</x:v>
      </x:c>
    </x:row>
    <x:row r="44">
      <x:c r="A44" s="49" t="str">
        <x:v>（新規候補）</x:v>
      </x:c>
      <x:c r="B44" s="49" t="str">
        <x:v>資料チェックリスト</x:v>
      </x:c>
      <x:c r="C44" s="49" t="str">
        <x:v>required_documents</x:v>
      </x:c>
      <x:c r="D44" s="49" t="str">
        <x:v>itemごとのrequested/received/reviewed</x:v>
      </x:c>
      <x:c r="E44" s="49" t="str">
        <x:v>高</x:v>
      </x:c>
      <x:c r="F44" s="49" t="str">
        <x:v>準備品質</x:v>
      </x:c>
      <x:c r="G44" s="49" t="str">
        <x:v>新設/既存確認</x:v>
      </x:c>
    </x:row>
    <x:row r="45">
      <x:c r="A45" s="49" t="str">
        <x:v>（新規候補）</x:v>
      </x:c>
      <x:c r="B45" s="49" t="str">
        <x:v>proposal package</x:v>
      </x:c>
      <x:c r="C45" s="49" t="str">
        <x:v>proposal_package_id</x:v>
      </x:c>
      <x:c r="D45" s="49" t="str">
        <x:v>見積/契約案の版と送付イベント</x:v>
      </x:c>
      <x:c r="E45" s="49" t="str">
        <x:v>最高</x:v>
      </x:c>
      <x:c r="F45" s="49" t="str">
        <x:v>受任監査</x:v>
      </x:c>
      <x:c r="G45" s="49" t="str">
        <x:v>新設</x:v>
      </x:c>
    </x:row>
    <x:row r="46">
      <x:c r="A46" s="49" t="str">
        <x:v>（新規候補）</x:v>
      </x:c>
      <x:c r="B46" s="49" t="str">
        <x:v>契約成立日時・成立根拠</x:v>
      </x:c>
      <x:c r="C46" s="49" t="str">
        <x:v>engagement_effective_at/basis</x:v>
      </x:c>
      <x:c r="D46" s="49" t="str">
        <x:v>署名/承諾/入金/例外</x:v>
      </x:c>
      <x:c r="E46" s="49" t="str">
        <x:v>最高</x:v>
      </x:c>
      <x:c r="F46" s="49" t="str">
        <x:v>業務開始</x:v>
      </x:c>
      <x:c r="G46" s="49" t="str">
        <x:v>新設</x:v>
      </x:c>
    </x:row>
    <x:row r="47">
      <x:c r="A47" s="49" t="str">
        <x:v>（新規候補）</x:v>
      </x:c>
      <x:c r="B47" s="49" t="str">
        <x:v>支払者Party</x:v>
      </x:c>
      <x:c r="C47" s="49" t="str">
        <x:v>payer_party_id</x:v>
      </x:c>
      <x:c r="D47" s="49" t="str">
        <x:v>依頼者と分離</x:v>
      </x:c>
      <x:c r="E47" s="49" t="str">
        <x:v>最高</x:v>
      </x:c>
      <x:c r="F47" s="49" t="str">
        <x:v>第三者支払</x:v>
      </x:c>
      <x:c r="G47" s="49" t="str">
        <x:v>新設/会計確認</x:v>
      </x:c>
    </x:row>
    <x:row r="48">
      <x:c r="A48" s="49" t="str">
        <x:v>（新規候補）</x:v>
      </x:c>
      <x:c r="B48" s="49" t="str">
        <x:v>source native refs</x:v>
      </x:c>
      <x:c r="C48" s="49" t="str">
        <x:v>provenance_refs</x:v>
      </x:c>
      <x:c r="D48" s="49" t="str">
        <x:v>message/call/event/file IDs</x:v>
      </x:c>
      <x:c r="E48" s="49" t="str">
        <x:v>最高</x:v>
      </x:c>
      <x:c r="F48" s="49" t="str">
        <x:v>監査・再処理</x:v>
      </x:c>
      <x:c r="G48" s="49" t="str">
        <x:v>新設</x:v>
      </x:c>
    </x:row>
  </x:sheetData>
  <x:mergeCells>
    <x:mergeCell ref="A1:G1"/>
    <x:mergeCell ref="A2:G2"/>
  </x:mergeCells>
  <x:dataValidations count="2">
    <x:dataValidation type="list" sqref="E5:E104">
      <x:formula1>"低,低〜中,中,高,最高"</x:formula1>
    </x:dataValidation>
    <x:dataValidation type="list" sqref="G5:G104">
      <x:formula1>"既存,既存だが粗い,既存だが混在,既存だが主観,既存だが要台帳,要定義,要分解,不足,新設,新設/関連,新設/既存確認,新設/既存組合せ"</x:formula1>
    </x:dataValidation>
  </x:dataValidations>
  <x:pageMargins left="0.7" right="0.7" top="0.75" bottom="0.75" header="0.3" footer="0.3"/>
  <x:tableParts count="1">
    <x:tablePart xmlns:r="http://schemas.openxmlformats.org/officeDocument/2006/relationships" r:id="R390842f80ba2466b"/>
  </x:tableParts>
</x:worksheet>
</file>

<file path=xl/worksheets/sheet9.xml><?xml version="1.0" encoding="utf-8"?>
<x:worksheet xmlns:x="http://schemas.openxmlformats.org/spreadsheetml/2006/main">
  <x:sheetFormatPr defaultRowHeight="15"/>
  <x:cols>
    <x:col min="1" max="1" width="11" hidden="0" customWidth="1"/>
    <x:col min="2" max="2" width="16" hidden="0" customWidth="1"/>
    <x:col min="3" max="3" width="48" hidden="0" customWidth="1"/>
    <x:col min="4" max="4" width="25" hidden="0" customWidth="1"/>
    <x:col min="5" max="5" width="52" hidden="0" customWidth="1"/>
    <x:col min="6" max="6" width="52" hidden="0" customWidth="1"/>
    <x:col min="7" max="7" width="22" hidden="0" customWidth="1"/>
    <x:col min="8" max="8" width="12" hidden="0" customWidth="1"/>
  </x:cols>
  <x:sheetData>
    <x:row r="1" ht="30" customHeight="1">
      <x:c r="A1" s="5" t="str">
        <x:v>匿名化した初期実査証跡</x:v>
      </x:c>
      <x:c r="B1" s="5"/>
      <x:c r="C1" s="5"/>
      <x:c r="D1" s="5"/>
      <x:c r="E1" s="5"/>
      <x:c r="F1" s="5"/>
      <x:c r="G1" s="5"/>
      <x:c r="H1" s="5"/>
    </x:row>
    <x:row r="2" ht="32" customHeight="1">
      <x:c r="A2" s="13" t="str">
        <x:v>個人名・事件内容・金額は記載せず、実物から抽出した業務パターンだけを設計証拠として残す。今後は案件類型別・担当別に層化サンプルを追加する。</x:v>
      </x:c>
      <x:c r="B2" s="13"/>
      <x:c r="C2" s="13"/>
      <x:c r="D2" s="13"/>
      <x:c r="E2" s="13"/>
      <x:c r="F2" s="13"/>
      <x:c r="G2" s="13"/>
      <x:c r="H2" s="13"/>
    </x:row>
    <x:row r="4" ht="30" customHeight="1">
      <x:c r="A4" s="42" t="str">
        <x:v>Evidence ID</x:v>
      </x:c>
      <x:c r="B4" s="42" t="str">
        <x:v>システム</x:v>
      </x:c>
      <x:c r="C4" s="42" t="str">
        <x:v>場所/資料</x:v>
      </x:c>
      <x:c r="D4" s="42" t="str">
        <x:v>観察対象</x:v>
      </x:c>
      <x:c r="E4" s="42" t="str">
        <x:v>観察された実態</x:v>
      </x:c>
      <x:c r="F4" s="42" t="str">
        <x:v>設計への含意</x:v>
      </x:c>
      <x:c r="G4" s="42" t="str">
        <x:v>機密取扱</x:v>
      </x:c>
      <x:c r="H4" s="42" t="str">
        <x:v>状態</x:v>
      </x:c>
    </x:row>
    <x:row r="5">
      <x:c r="A5" s="49" t="str">
        <x:v>EVD-001</x:v>
      </x:c>
      <x:c r="B5" s="49" t="str">
        <x:v>Box</x:v>
      </x:c>
      <x:c r="C5" s="49" t="str">
        <x:v>ALO共有/ま＿マニュアル類/電話取り方マニュアル.docx</x:v>
      </x:c>
      <x:c r="D5" s="49" t="str">
        <x:v>電話受付の現行手順</x:v>
      </x:c>
      <x:c r="E5" s="49" t="str">
        <x:v>名乗り・相手確認・取次/折返し・メモ・報告が中心</x:v>
      </x:c>
      <x:c r="F5" s="49" t="str">
        <x:v>新規相談専用の本人関係、相手方、期限、安全連絡、流入、案件紐付け項目が不足</x:v>
      </x:c>
      <x:c r="G5" s="49" t="str">
        <x:v>個人情報なし</x:v>
      </x:c>
      <x:c r="H5" s="49" t="str">
        <x:v>確認済</x:v>
      </x:c>
    </x:row>
    <x:row r="6">
      <x:c r="A6" s="49" t="str">
        <x:v>EVD-002</x:v>
      </x:c>
      <x:c r="B6" s="49" t="str">
        <x:v>Box</x:v>
      </x:c>
      <x:c r="C6" s="49" t="str">
        <x:v>ALO共有/ま＿マニュアル類/BOX設定マニュアル.docx</x:v>
      </x:c>
      <x:c r="D6" s="49" t="str">
        <x:v>顧客とのファイル共有</x:v>
      </x:c>
      <x:c r="E6" s="49" t="str">
        <x:v>顧客がBoxアカウントを作成し、事務所が関係者共有フォルダURLを送付</x:v>
      </x:c>
      <x:c r="F6" s="49" t="str">
        <x:v>受領/納品チャネルとしてBox共有開始・権限・失効をイベント化可能</x:v>
      </x:c>
      <x:c r="G6" s="49" t="str">
        <x:v>個人情報なし</x:v>
      </x:c>
      <x:c r="H6" s="49" t="str">
        <x:v>確認済</x:v>
      </x:c>
    </x:row>
    <x:row r="7">
      <x:c r="A7" s="49" t="str">
        <x:v>EVD-003</x:v>
      </x:c>
      <x:c r="B7" s="49" t="str">
        <x:v>Box</x:v>
      </x:c>
      <x:c r="C7" s="49" t="str">
        <x:v>法テラス/1援助申込書・法律相談票.xlsx</x:v>
      </x:c>
      <x:c r="D7" s="49" t="str">
        <x:v>相談聴取・処置項目</x:v>
      </x:c>
      <x:c r="E7" s="49" t="str">
        <x:v>本人、連絡安全、相手方、収支、経路、相談日時、措置、手続方針、助言、作成文書を既に網羅</x:v>
      </x:c>
      <x:c r="F7" s="49" t="str">
        <x:v>相談スキーマの強い既存資源。一般相談用に縮約・共通化可能</x:v>
      </x:c>
      <x:c r="G7" s="49" t="str">
        <x:v>空様式</x:v>
      </x:c>
      <x:c r="H7" s="49" t="str">
        <x:v>確認済</x:v>
      </x:c>
    </x:row>
    <x:row r="8">
      <x:c r="A8" s="49" t="str">
        <x:v>EVD-004</x:v>
      </x:c>
      <x:c r="B8" s="49" t="str">
        <x:v>Box</x:v>
      </x:c>
      <x:c r="C8" s="49" t="str">
        <x:v>SF_FIELD_INVENTORY/.../leala__Consultation__c.json</x:v>
      </x:c>
      <x:c r="D8" s="49" t="str">
        <x:v>Salesforce相談フィールド</x:v>
      </x:c>
      <x:c r="E8" s="49" t="str">
        <x:v>Stage, Source, Category,受付/相談日,担当,確度,失注理由,見込費用,Box URL,DerivedEvent関連あり</x:v>
      </x:c>
      <x:c r="F8" s="49" t="str">
        <x:v>項目追加よりevent/task/provenanceとの接続が重点</x:v>
      </x:c>
      <x:c r="G8" s="49" t="str">
        <x:v>構造のみ</x:v>
      </x:c>
      <x:c r="H8" s="49" t="str">
        <x:v>確認済</x:v>
      </x:c>
    </x:row>
    <x:row r="9">
      <x:c r="A9" s="49" t="str">
        <x:v>EVD-005</x:v>
      </x:c>
      <x:c r="B9" s="49" t="str">
        <x:v>Gmail</x:v>
      </x:c>
      <x:c r="C9" s="49" t="str">
        <x:v>匿名化した相談→提案→契約調整スレッド</x:v>
      </x:c>
      <x:c r="D9" s="49" t="str">
        <x:v>相談から受任前の実態</x:v>
      </x:c>
      <x:c r="E9" s="49" t="str">
        <x:v>初回接触、日程/相談料、相談、追加質問、見積依頼、見積/契約案送付、最終面談が一スレッドに連続</x:v>
      </x:c>
      <x:c r="F9" s="49" t="str">
        <x:v>各段階を独立イベント、WorkItem、Proposal Packageとして記録すべき</x:v>
      </x:c>
      <x:c r="G9" s="49" t="str">
        <x:v>本文は出力物に不掲載</x:v>
      </x:c>
      <x:c r="H9" s="49" t="str">
        <x:v>確認済</x:v>
      </x:c>
    </x:row>
    <x:row r="10">
      <x:c r="A10" s="49" t="str">
        <x:v>EVD-006</x:v>
      </x:c>
      <x:c r="B10" s="49" t="str">
        <x:v>Gmail</x:v>
      </x:c>
      <x:c r="C10" s="49" t="str">
        <x:v>匿名化した第三者支払請求スレッド</x:v>
      </x:c>
      <x:c r="D10" s="49" t="str">
        <x:v>請求・支払者の実態</x:v>
      </x:c>
      <x:c r="E10" s="49" t="str">
        <x:v>依頼者とは別の保険会社へ相談料/着手金請求、外部照会番号、処理開始確認あり</x:v>
      </x:c>
      <x:c r="F10" s="49" t="str">
        <x:v>clientとpayerを分離し、invoice ack/external refを保持すべき</x:v>
      </x:c>
      <x:c r="G10" s="49" t="str">
        <x:v>本文は出力物に不掲載</x:v>
      </x:c>
      <x:c r="H10" s="49" t="str">
        <x:v>確認済</x:v>
      </x:c>
    </x:row>
    <x:row r="11">
      <x:c r="A11" s="49" t="str">
        <x:v>EVD-007</x:v>
      </x:c>
      <x:c r="B11" s="49" t="str">
        <x:v>Box</x:v>
      </x:c>
      <x:c r="C11" s="49" t="str">
        <x:v>既済案件の業務終了報告書サンプル</x:v>
      </x:c>
      <x:c r="D11" s="49" t="str">
        <x:v>終結出力物</x:v>
      </x:c>
      <x:c r="E11" s="49" t="str">
        <x:v>受任業務、解決、解決後履行、最終費用計算、実費/返金、原本返却、同封物を記載</x:v>
      </x:c>
      <x:c r="F11" s="49" t="str">
        <x:v>終結は結果だけでなく財務・原本・残作業・送付パックの複合gate</x:v>
      </x:c>
      <x:c r="G11" s="49" t="str">
        <x:v>匿名化パターンのみ使用</x:v>
      </x:c>
      <x:c r="H11" s="49" t="str">
        <x:v>確認済</x:v>
      </x:c>
    </x:row>
    <x:row r="12">
      <x:c r="A12" s="49" t="str">
        <x:v>EVD-008</x:v>
      </x:c>
      <x:c r="B12" s="49" t="str">
        <x:v>プロジェクト資料</x:v>
      </x:c>
      <x:c r="C12" s="49" t="str">
        <x:v>DX引継ぎ・インフラスナップショット</x:v>
      </x:c>
      <x:c r="D12" s="49" t="str">
        <x:v>システム全体</x:v>
      </x:c>
      <x:c r="E12" s="49" t="str">
        <x:v>Box正本、SF基幹、MF請求/会計、Gmail/Dialpad/Notta、事務局が人的接着剤</x:v>
      </x:c>
      <x:c r="F12" s="49" t="str">
        <x:v>自然発生データの自動捕捉とSF ID貫通を優先</x:v>
      </x:c>
      <x:c r="G12" s="49" t="str">
        <x:v>内部資料</x:v>
      </x:c>
      <x:c r="H12" s="49" t="str">
        <x:v>確認済</x:v>
      </x:c>
    </x:row>
    <x:row r="13">
      <x:c r="A13" s="49" t="str">
        <x:v>EVD-009</x:v>
      </x:c>
      <x:c r="B13" s="49" t="str">
        <x:v>プロジェクト資料</x:v>
      </x:c>
      <x:c r="C13" s="49" t="str">
        <x:v>ALOデータ編成指針</x:v>
      </x:c>
      <x:c r="D13" s="49" t="str">
        <x:v>データ原則</x:v>
      </x:c>
      <x:c r="E13" s="49" t="str">
        <x:v>Raw First, Canonical is Thin, Layering, No Destructive Import, Resolution Log</x:v>
      </x:c>
      <x:c r="F13" s="49" t="str">
        <x:v>業務データにもraw/curated/derivedと訂正ログを適用</x:v>
      </x:c>
      <x:c r="G13" s="49" t="str">
        <x:v>内部資料</x:v>
      </x:c>
      <x:c r="H13" s="49" t="str">
        <x:v>確認済</x:v>
      </x:c>
    </x:row>
  </x:sheetData>
  <x:mergeCells>
    <x:mergeCell ref="A1:H1"/>
    <x:mergeCell ref="A2:H2"/>
  </x:mergeCells>
  <x:dataValidations count="1">
    <x:dataValidation type="list" sqref="H5:H104">
      <x:formula1>"未確認,確認済,追加確認,撤回"</x:formula1>
    </x:dataValidation>
  </x:dataValidations>
  <x:pageMargins left="0.7" right="0.7" top="0.75" bottom="0.75" header="0.3" footer="0.3"/>
  <x:tableParts count="1">
    <x:tablePart xmlns:r="http://schemas.openxmlformats.org/officeDocument/2006/relationships" r:id="R200ff0e5a52b4eab"/>
  </x:tableParts>
</x:worksheet>
</file>

<file path=xl/worksheets/sheet10.xml><?xml version="1.0" encoding="utf-8"?>
<x:worksheet xmlns:x="http://schemas.openxmlformats.org/spreadsheetml/2006/main">
  <x:sheetFormatPr defaultRowHeight="15"/>
  <x:cols>
    <x:col min="1" max="1" width="12" hidden="0" customWidth="1"/>
    <x:col min="2" max="2" width="50" hidden="0" customWidth="1"/>
    <x:col min="3" max="3" width="14" hidden="0" customWidth="1"/>
    <x:col min="4" max="4" width="46" hidden="0" customWidth="1"/>
    <x:col min="5" max="5" width="40" hidden="0" customWidth="1"/>
    <x:col min="6" max="6" width="24" hidden="0" customWidth="1"/>
    <x:col min="7" max="7" width="14" hidden="0" customWidth="1"/>
    <x:col min="8" max="8" width="12" hidden="0" customWidth="1"/>
  </x:cols>
  <x:sheetData>
    <x:row r="1" ht="30" customHeight="1">
      <x:c r="A1" s="5" t="str">
        <x:v>設計判断・未決事項ログ</x:v>
      </x:c>
      <x:c r="B1" s="5"/>
      <x:c r="C1" s="5"/>
      <x:c r="D1" s="5"/>
      <x:c r="E1" s="5"/>
      <x:c r="F1" s="5"/>
      <x:c r="G1" s="5"/>
      <x:c r="H1" s="5"/>
    </x:row>
    <x:row r="2" ht="32" customHeight="1">
      <x:c r="A2" s="13" t="str">
        <x:v>仮説と確定事項を混同しない。決定時に決定者・日付・理由を記録し、後日の変更は上書きせず新しいDecision IDで参照する。</x:v>
      </x:c>
      <x:c r="B2" s="13"/>
      <x:c r="C2" s="13"/>
      <x:c r="D2" s="13"/>
      <x:c r="E2" s="13"/>
      <x:c r="F2" s="13"/>
      <x:c r="G2" s="13"/>
      <x:c r="H2" s="13"/>
    </x:row>
    <x:row r="4" ht="30" customHeight="1">
      <x:c r="A4" s="42" t="str">
        <x:v>Decision ID</x:v>
      </x:c>
      <x:c r="B4" s="42" t="str">
        <x:v>設計判断/仮説</x:v>
      </x:c>
      <x:c r="C4" s="42" t="str">
        <x:v>区分</x:v>
      </x:c>
      <x:c r="D4" s="42" t="str">
        <x:v>理由</x:v>
      </x:c>
      <x:c r="E4" s="42" t="str">
        <x:v>未解決論点</x:v>
      </x:c>
      <x:c r="F4" s="42" t="str">
        <x:v>決定者</x:v>
      </x:c>
      <x:c r="G4" s="42" t="str">
        <x:v>決定日</x:v>
      </x:c>
      <x:c r="H4" s="42" t="str">
        <x:v>状態</x:v>
      </x:c>
    </x:row>
    <x:row r="5">
      <x:c r="A5" s="49" t="str">
        <x:v>D-001</x:v>
      </x:c>
      <x:c r="B5" s="49" t="str">
        <x:v>SalesforceのConsultation/Matter IDを業務レコードの脊椎とする</x:v>
      </x:c>
      <x:c r="C5" s="49" t="str">
        <x:v>仮説</x:v>
      </x:c>
      <x:c r="D5" s="49" t="str">
        <x:v>既存基幹・Box連携・各子オブジェクトとの関係が最も豊富</x:v>
      </x:c>
      <x:c r="E5" s="49" t="str">
        <x:v>例外オブジェクトと実運用の確認</x:v>
      </x:c>
      <x:c r="F5" s="49" t="str">
        <x:v>浅井先生/外部SE</x:v>
      </x:c>
      <x:c r="G5" s="49" t="str"/>
      <x:c r="H5" s="49" t="str">
        <x:v>未決</x:v>
      </x:c>
    </x:row>
    <x:row r="6">
      <x:c r="A6" s="49" t="str">
        <x:v>D-002</x:v>
      </x:c>
      <x:c r="B6" s="49" t="str">
        <x:v>Box file_id/version_idを文書同一性の正本とする</x:v>
      </x:c>
      <x:c r="C6" s="49" t="str">
        <x:v>仮説</x:v>
      </x:c>
      <x:c r="D6" s="49" t="str">
        <x:v>Boxがcanonical storeで、Salesforceにはリンク/メタデータを置く方針</x:v>
      </x:c>
      <x:c r="E6" s="49" t="str">
        <x:v>共有リンクではなくID取得可否</x:v>
      </x:c>
      <x:c r="F6" s="49" t="str">
        <x:v>外部SE</x:v>
      </x:c>
      <x:c r="G6" s="49" t="str"/>
      <x:c r="H6" s="49" t="str">
        <x:v>未決</x:v>
      </x:c>
    </x:row>
    <x:row r="7">
      <x:c r="A7" s="49" t="str">
        <x:v>D-003</x:v>
      </x:c>
      <x:c r="B7" s="49" t="str">
        <x:v>Gmail/Dialpad/Notta/Calendar/郵便等はappend-onlyの観測イベントとして保持する</x:v>
      </x:c>
      <x:c r="C7" s="49" t="str">
        <x:v>仮説</x:v>
      </x:c>
      <x:c r="D7" s="49" t="str">
        <x:v>元データを潰さず再評価・再紐付け可能にするため</x:v>
      </x:c>
      <x:c r="E7" s="49" t="str">
        <x:v>保存期間・容量・権限</x:v>
      </x:c>
      <x:c r="F7" s="49" t="str">
        <x:v>浅井先生/外部SE</x:v>
      </x:c>
      <x:c r="G7" s="49" t="str"/>
      <x:c r="H7" s="49" t="str">
        <x:v>未決</x:v>
      </x:c>
    </x:row>
    <x:row r="8">
      <x:c r="A8" s="49" t="str">
        <x:v>D-004</x:v>
      </x:c>
      <x:c r="B8" s="49" t="str">
        <x:v>declared_stateとobserved_stateを分離する</x:v>
      </x:c>
      <x:c r="C8" s="49" t="str">
        <x:v>仮説</x:v>
      </x:c>
      <x:c r="D8" s="49" t="str">
        <x:v>Salesforce更新遅れと実メール上の進展を矛盾なく扱うため</x:v>
      </x:c>
      <x:c r="E8" s="49" t="str">
        <x:v>UI表示・確定手順</x:v>
      </x:c>
      <x:c r="F8" s="49" t="str">
        <x:v>浅井先生/事務局</x:v>
      </x:c>
      <x:c r="G8" s="49" t="str"/>
      <x:c r="H8" s="49" t="str">
        <x:v>未決</x:v>
      </x:c>
    </x:row>
    <x:row r="9">
      <x:c r="A9" s="49" t="str">
        <x:v>D-005</x:v>
      </x:c>
      <x:c r="B9" s="49" t="str">
        <x:v>案件、作業、文書、財務、期限の状態機械を分離する</x:v>
      </x:c>
      <x:c r="C9" s="49" t="str">
        <x:v>仮説</x:v>
      </x:c>
      <x:c r="D9" s="49" t="str">
        <x:v>一つの案件ステータスへ全てを押し込むと情報が失われるため</x:v>
      </x:c>
      <x:c r="E9" s="49" t="str">
        <x:v>現場の閲覧負荷</x:v>
      </x:c>
      <x:c r="F9" s="49" t="str">
        <x:v>全員</x:v>
      </x:c>
      <x:c r="G9" s="49" t="str"/>
      <x:c r="H9" s="49" t="str">
        <x:v>未決</x:v>
      </x:c>
    </x:row>
    <x:row r="10">
      <x:c r="A10" s="49" t="str">
        <x:v>D-006</x:v>
      </x:c>
      <x:c r="B10" s="49" t="str">
        <x:v>新規手入力は自然発生データで取得不能な判断・承認に限定する</x:v>
      </x:c>
      <x:c r="C10" s="49" t="str">
        <x:v>既存原則</x:v>
      </x:c>
      <x:c r="D10" s="49" t="str">
        <x:v>入力負荷低減とデータ品質の両立が最優先KPI</x:v>
      </x:c>
      <x:c r="E10" s="49" t="str">
        <x:v>必要最低限フィールドの決定</x:v>
      </x:c>
      <x:c r="F10" s="49" t="str">
        <x:v>浅井先生/中森</x:v>
      </x:c>
      <x:c r="G10" s="49" t="str"/>
      <x:c r="H10" s="49" t="str">
        <x:v>未決</x:v>
      </x:c>
    </x:row>
    <x:row r="11">
      <x:c r="A11" s="49" t="str">
        <x:v>D-007</x:v>
      </x:c>
      <x:c r="B11" s="49" t="str">
        <x:v>コンフリ、受任成立、最終送付、終結、請求/預り金精算は人間必須承認とする</x:v>
      </x:c>
      <x:c r="C11" s="49" t="str">
        <x:v>仮説</x:v>
      </x:c>
      <x:c r="D11" s="49" t="str">
        <x:v>重大な法務・守秘・金銭リスク</x:v>
      </x:c>
      <x:c r="E11" s="49" t="str">
        <x:v>例外・代理承認</x:v>
      </x:c>
      <x:c r="F11" s="49" t="str">
        <x:v>全弁護士/中森</x:v>
      </x:c>
      <x:c r="G11" s="49" t="str"/>
      <x:c r="H11" s="49" t="str">
        <x:v>未決</x:v>
      </x:c>
    </x:row>
    <x:row r="12">
      <x:c r="A12" s="49" t="str">
        <x:v>D-008</x:v>
      </x:c>
      <x:c r="B12" s="49" t="str">
        <x:v>第1 PoCは相談→受任ファネルとする</x:v>
      </x:c>
      <x:c r="C12" s="49" t="str">
        <x:v>提案</x:v>
      </x:c>
      <x:c r="D12" s="49" t="str">
        <x:v>既存SF項目が豊富でメール/Calendar/Box証跡もあり、KPI化しやすい</x:v>
      </x:c>
      <x:c r="E12" s="49" t="str">
        <x:v>対象期間・担当チーム</x:v>
      </x:c>
      <x:c r="F12" s="49" t="str">
        <x:v>浅井先生</x:v>
      </x:c>
      <x:c r="G12" s="49" t="str"/>
      <x:c r="H12" s="49" t="str">
        <x:v>未決</x:v>
      </x:c>
    </x:row>
    <x:row r="13">
      <x:c r="A13" s="49" t="str">
        <x:v>D-009</x:v>
      </x:c>
      <x:c r="B13" s="49" t="str">
        <x:v>第2 PoCは解決→最終請求→返却→終了報告→既済化とする</x:v>
      </x:c>
      <x:c r="C13" s="49" t="str">
        <x:v>提案</x:v>
      </x:c>
      <x:c r="D13" s="49" t="str">
        <x:v>業務・財務・原本・納品を閉じる典型的複合フロー</x:v>
      </x:c>
      <x:c r="E13" s="49" t="str">
        <x:v>案件類型差</x:v>
      </x:c>
      <x:c r="F13" s="49" t="str">
        <x:v>浅井先生/中森</x:v>
      </x:c>
      <x:c r="G13" s="49" t="str"/>
      <x:c r="H13" s="49" t="str">
        <x:v>未決</x:v>
      </x:c>
    </x:row>
    <x:row r="14">
      <x:c r="A14" s="49" t="str">
        <x:v>D-010</x:v>
      </x:c>
      <x:c r="B14" s="49" t="str">
        <x:v>訂正はraw削除ではなく無効化イベント＋新しい確定リンクで行う</x:v>
      </x:c>
      <x:c r="C14" s="49" t="str">
        <x:v>仮説</x:v>
      </x:c>
      <x:c r="D14" s="49" t="str">
        <x:v>監査証跡と再現性を維持</x:v>
      </x:c>
      <x:c r="E14" s="49" t="str">
        <x:v>個人情報削除要求時の例外</x:v>
      </x:c>
      <x:c r="F14" s="49" t="str">
        <x:v>浅井先生/外部SE</x:v>
      </x:c>
      <x:c r="G14" s="49" t="str"/>
      <x:c r="H14" s="49" t="str">
        <x:v>未決</x:v>
      </x:c>
    </x:row>
    <x:row r="15">
      <x:c r="A15" s="49" t="str">
        <x:v>D-011</x:v>
      </x:c>
      <x:c r="B15" s="49" t="str">
        <x:v>WorkItemにはowner/due/status/waiting_on/completion_evidenceを必須化する</x:v>
      </x:c>
      <x:c r="C15" s="49" t="str">
        <x:v>提案</x:v>
      </x:c>
      <x:c r="D15" s="49" t="str">
        <x:v>放置と完了定義の曖昧さを減らす</x:v>
      </x:c>
      <x:c r="E15" s="49" t="str">
        <x:v>細かなタスクの負担</x:v>
      </x:c>
      <x:c r="F15" s="49" t="str">
        <x:v>全員</x:v>
      </x:c>
      <x:c r="G15" s="49" t="str"/>
      <x:c r="H15" s="49" t="str">
        <x:v>未決</x:v>
      </x:c>
    </x:row>
    <x:row r="16">
      <x:c r="A16" s="49" t="str">
        <x:v>D-012</x:v>
      </x:c>
      <x:c r="B16" s="49" t="str">
        <x:v>成果物送付はDocument状態とDelivery eventを分離する</x:v>
      </x:c>
      <x:c r="C16" s="49" t="str">
        <x:v>提案</x:v>
      </x:c>
      <x:c r="D16" s="49" t="str">
        <x:v>完成・送付・到達・受理を混同しないため</x:v>
      </x:c>
      <x:c r="E16" s="49" t="str">
        <x:v>チャネル別証跡取得</x:v>
      </x:c>
      <x:c r="F16" s="49" t="str">
        <x:v>弁護士/事務局</x:v>
      </x:c>
      <x:c r="G16" s="49" t="str"/>
      <x:c r="H16" s="49" t="str">
        <x:v>未決</x:v>
      </x:c>
    </x:row>
    <x:row r="17">
      <x:c r="A17" s="49" t="str">
        <x:v>D-013</x:v>
      </x:c>
      <x:c r="B17" s="49" t="str">
        <x:v>financeではclient_partyとpayer_partyを分離する</x:v>
      </x:c>
      <x:c r="C17" s="49" t="str">
        <x:v>提案</x:v>
      </x:c>
      <x:c r="D17" s="49" t="str">
        <x:v>保険会社・法テラス・法人/個人など第三者支払に対応</x:v>
      </x:c>
      <x:c r="E17" s="49" t="str">
        <x:v>既存会計オブジェクトの関係</x:v>
      </x:c>
      <x:c r="F17" s="49" t="str">
        <x:v>中森/外部SE</x:v>
      </x:c>
      <x:c r="G17" s="49" t="str"/>
      <x:c r="H17" s="49" t="str">
        <x:v>未決</x:v>
      </x:c>
    </x:row>
    <x:row r="18">
      <x:c r="A18" s="49" t="str">
        <x:v>D-014</x:v>
      </x:c>
      <x:c r="B18" s="49" t="str">
        <x:v>close gateは未完Task、期限、最終請求、預り金/実費、原本返却、終了報告を確認する</x:v>
      </x:c>
      <x:c r="C18" s="49" t="str">
        <x:v>提案</x:v>
      </x:c>
      <x:c r="D18" s="49" t="str">
        <x:v>既存終了報告の実態を機械判定へ変換</x:v>
      </x:c>
      <x:c r="E18" s="49" t="str">
        <x:v>案件類型別の除外条件</x:v>
      </x:c>
      <x:c r="F18" s="49" t="str">
        <x:v>全弁護士/中森</x:v>
      </x:c>
      <x:c r="G18" s="49" t="str"/>
      <x:c r="H18" s="49" t="str">
        <x:v>未決</x:v>
      </x:c>
    </x:row>
  </x:sheetData>
  <x:mergeCells>
    <x:mergeCell ref="A1:H1"/>
    <x:mergeCell ref="A2:H2"/>
  </x:mergeCells>
  <x:conditionalFormatting sqref="H5:H18">
    <x:cfRule type="expression" dxfId="5" priority="1">
      <x:formula>H5="決定"</x:formula>
    </x:cfRule>
    <x:cfRule type="expression" dxfId="6" priority="2">
      <x:formula>H5="未決"</x:formula>
    </x:cfRule>
  </x:conditionalFormatting>
  <x:dataValidations count="2">
    <x:dataValidation type="list" sqref="C5:C104">
      <x:formula1>"仮説,提案,既存原則,決定,撤回"</x:formula1>
    </x:dataValidation>
    <x:dataValidation type="list" sqref="H5:H104">
      <x:formula1>"未決,調査中,決定,保留,撤回"</x:formula1>
    </x:dataValidation>
  </x:dataValidations>
  <x:pageMargins left="0.7" right="0.7" top="0.75" bottom="0.75" header="0.3" footer="0.3"/>
  <x:tableParts count="1">
    <x:tablePart xmlns:r="http://schemas.openxmlformats.org/officeDocument/2006/relationships" r:id="Rec50742da47041bd"/>
  </x:tableParts>
</x:worksheet>
</file>

<file path=xl/worksheets/sheet11.xml><?xml version="1.0" encoding="utf-8"?>
<x:worksheet xmlns:x="http://schemas.openxmlformats.org/spreadsheetml/2006/main">
  <x:sheetFormatPr defaultRowHeight="15"/>
  <x:cols>
    <x:col min="1" max="1" width="20" hidden="0" customWidth="1"/>
    <x:col min="2" max="2" width="25" hidden="0" customWidth="1"/>
    <x:col min="3" max="3" width="70" hidden="0" customWidth="1"/>
  </x:cols>
  <x:sheetData>
    <x:row r="1" ht="30" customHeight="1">
      <x:c r="A1" s="5" t="str">
        <x:v>用語・選択肢</x:v>
      </x:c>
      <x:c r="B1" s="5"/>
      <x:c r="C1" s="5"/>
    </x:row>
    <x:row r="2" ht="32" customHeight="1">
      <x:c r="A2" s="13" t="str">
        <x:v>本台帳で使う主要な語彙。状態や選択肢を変更するときは、既存データとの互換性とmigrationを記録する。</x:v>
      </x:c>
      <x:c r="B2" s="13"/>
      <x:c r="C2" s="13"/>
    </x:row>
    <x:row r="4" ht="30" customHeight="1">
      <x:c r="A4" s="42" t="str">
        <x:v>分類</x:v>
      </x:c>
      <x:c r="B4" s="42" t="str">
        <x:v>値</x:v>
      </x:c>
      <x:c r="C4" s="42" t="str">
        <x:v>説明</x:v>
      </x:c>
    </x:row>
    <x:row r="5">
      <x:c r="A5" s="49" t="str">
        <x:v>回答状態</x:v>
      </x:c>
      <x:c r="B5" s="49" t="str">
        <x:v>未回答</x:v>
      </x:c>
      <x:c r="C5" s="49" t="str">
        <x:v>未着手</x:v>
      </x:c>
    </x:row>
    <x:row r="6">
      <x:c r="A6" s="49" t="str">
        <x:v>回答状態</x:v>
      </x:c>
      <x:c r="B6" s="49" t="str">
        <x:v>調査中</x:v>
      </x:c>
      <x:c r="C6" s="49" t="str">
        <x:v>実査又は聴取中</x:v>
      </x:c>
    </x:row>
    <x:row r="7">
      <x:c r="A7" s="49" t="str">
        <x:v>回答状態</x:v>
      </x:c>
      <x:c r="B7" s="49" t="str">
        <x:v>回答済</x:v>
      </x:c>
      <x:c r="C7" s="49" t="str">
        <x:v>設計へ反映可能</x:v>
      </x:c>
    </x:row>
    <x:row r="8">
      <x:c r="A8" s="49" t="str">
        <x:v>回答状態</x:v>
      </x:c>
      <x:c r="B8" s="49" t="str">
        <x:v>保留</x:v>
      </x:c>
      <x:c r="C8" s="49" t="str">
        <x:v>前提待ち</x:v>
      </x:c>
    </x:row>
    <x:row r="9">
      <x:c r="A9" s="49" t="str">
        <x:v>回答状態</x:v>
      </x:c>
      <x:c r="B9" s="49" t="str">
        <x:v>対象外</x:v>
      </x:c>
      <x:c r="C9" s="49" t="str">
        <x:v>現行スコープ外</x:v>
      </x:c>
    </x:row>
    <x:row r="10">
      <x:c r="A10" s="49" t="str">
        <x:v>優先度</x:v>
      </x:c>
      <x:c r="B10" s="49" t="str">
        <x:v>P0</x:v>
      </x:c>
      <x:c r="C10" s="49" t="str">
        <x:v>正本・重大ゲート・法務/金銭/期限リスク</x:v>
      </x:c>
    </x:row>
    <x:row r="11">
      <x:c r="A11" s="49" t="str">
        <x:v>優先度</x:v>
      </x:c>
      <x:c r="B11" s="49" t="str">
        <x:v>P1</x:v>
      </x:c>
      <x:c r="C11" s="49" t="str">
        <x:v>PoC成立に必要</x:v>
      </x:c>
    </x:row>
    <x:row r="12">
      <x:c r="A12" s="49" t="str">
        <x:v>優先度</x:v>
      </x:c>
      <x:c r="B12" s="49" t="str">
        <x:v>P2</x:v>
      </x:c>
      <x:c r="C12" s="49" t="str">
        <x:v>最適化・将来拡張</x:v>
      </x:c>
    </x:row>
    <x:row r="13">
      <x:c r="A13" s="49" t="str">
        <x:v>データ層</x:v>
      </x:c>
      <x:c r="B13" s="49" t="str">
        <x:v>raw</x:v>
      </x:c>
      <x:c r="C13" s="49" t="str">
        <x:v>外部ソースの原観測。原則不変</x:v>
      </x:c>
    </x:row>
    <x:row r="14">
      <x:c r="A14" s="49" t="str">
        <x:v>データ層</x:v>
      </x:c>
      <x:c r="B14" s="49" t="str">
        <x:v>curated</x:v>
      </x:c>
      <x:c r="C14" s="49" t="str">
        <x:v>人間又は承認済みの意味付け</x:v>
      </x:c>
    </x:row>
    <x:row r="15">
      <x:c r="A15" s="49" t="str">
        <x:v>データ層</x:v>
      </x:c>
      <x:c r="B15" s="49" t="str">
        <x:v>derived</x:v>
      </x:c>
      <x:c r="C15" s="49" t="str">
        <x:v>再生成可能なAI/ルール派生</x:v>
      </x:c>
    </x:row>
    <x:row r="16">
      <x:c r="A16" s="49" t="str">
        <x:v>状態</x:v>
      </x:c>
      <x:c r="B16" s="49" t="str">
        <x:v>declared_state</x:v>
      </x:c>
      <x:c r="C16" s="49" t="str">
        <x:v>Salesforce等で人が申告した状態</x:v>
      </x:c>
    </x:row>
    <x:row r="17">
      <x:c r="A17" s="49" t="str">
        <x:v>状態</x:v>
      </x:c>
      <x:c r="B17" s="49" t="str">
        <x:v>observed_state</x:v>
      </x:c>
      <x:c r="C17" s="49" t="str">
        <x:v>メール等の観測から推定した状態</x:v>
      </x:c>
    </x:row>
    <x:row r="18">
      <x:c r="A18" s="49" t="str">
        <x:v>証跡</x:v>
      </x:c>
      <x:c r="B18" s="49" t="str">
        <x:v>provenance</x:v>
      </x:c>
      <x:c r="C18" s="49" t="str">
        <x:v>元message/call/file/recordと抽出器versionへの参照</x:v>
      </x:c>
    </x:row>
    <x:row r="19">
      <x:c r="A19" s="49" t="str">
        <x:v>訂正</x:v>
      </x:c>
      <x:c r="B19" s="49" t="str">
        <x:v>invalidation</x:v>
      </x:c>
      <x:c r="C19" s="49" t="str">
        <x:v>誤イベントを削除せず無効化し、新イベントで訂正</x:v>
      </x:c>
    </x:row>
  </x:sheetData>
  <x:mergeCells>
    <x:mergeCell ref="A1:C1"/>
    <x:mergeCell ref="A2:C2"/>
  </x:mergeCells>
  <x:pageMargins left="0.7" right="0.7" top="0.75" bottom="0.75" header="0.3" footer="0.3"/>
  <x:tableParts count="1">
    <x:tablePart xmlns:r="http://schemas.openxmlformats.org/officeDocument/2006/relationships" r:id="R0e97850d52b04819"/>
  </x:tableParts>
</x:worksheet>
</file>